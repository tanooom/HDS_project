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HdS\Dati AlmaLaurea\Totale\"/>
    </mc:Choice>
  </mc:AlternateContent>
  <xr:revisionPtr revIDLastSave="0" documentId="13_ncr:1_{42EDCEEE-9EEA-48BD-8016-268DDA7AD201}" xr6:coauthVersionLast="47" xr6:coauthVersionMax="47" xr10:uidLastSave="{00000000-0000-0000-0000-000000000000}"/>
  <bookViews>
    <workbookView xWindow="-120" yWindow="-120" windowWidth="29040" windowHeight="15720" xr2:uid="{A2F944AB-A3CB-41A2-A0CD-18DA171DDEAA}"/>
  </bookViews>
  <sheets>
    <sheet name="datialmalaureaTot1Anno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B32" i="1"/>
  <c r="B34" i="1" s="1"/>
  <c r="C32" i="1"/>
  <c r="C34" i="1" s="1"/>
  <c r="D32" i="1"/>
  <c r="D34" i="1" s="1"/>
  <c r="E32" i="1"/>
  <c r="E34" i="1" s="1"/>
  <c r="F32" i="1"/>
  <c r="F34" i="1" s="1"/>
  <c r="G32" i="1"/>
  <c r="G34" i="1" s="1"/>
  <c r="H32" i="1"/>
  <c r="H34" i="1" s="1"/>
  <c r="I32" i="1"/>
  <c r="I34" i="1" s="1"/>
  <c r="J32" i="1"/>
  <c r="J34" i="1" s="1"/>
  <c r="K32" i="1"/>
  <c r="K34" i="1" s="1"/>
  <c r="L32" i="1"/>
  <c r="L34" i="1" s="1"/>
  <c r="M32" i="1"/>
  <c r="M34" i="1" s="1"/>
  <c r="N32" i="1"/>
  <c r="N34" i="1" s="1"/>
  <c r="O32" i="1"/>
  <c r="O34" i="1" s="1"/>
  <c r="P32" i="1"/>
  <c r="P34" i="1" s="1"/>
  <c r="Q32" i="1"/>
  <c r="Q34" i="1" s="1"/>
  <c r="R32" i="1"/>
  <c r="R34" i="1" s="1"/>
  <c r="S32" i="1"/>
  <c r="S34" i="1" s="1"/>
  <c r="T32" i="1"/>
  <c r="T34" i="1" s="1"/>
  <c r="U32" i="1"/>
  <c r="U34" i="1" s="1"/>
  <c r="V32" i="1"/>
  <c r="V34" i="1" s="1"/>
  <c r="W32" i="1"/>
  <c r="W34" i="1" s="1"/>
  <c r="X32" i="1"/>
  <c r="X34" i="1" s="1"/>
  <c r="Y32" i="1"/>
  <c r="Y34" i="1" s="1"/>
  <c r="Z32" i="1"/>
  <c r="Z34" i="1" s="1"/>
  <c r="AA32" i="1"/>
  <c r="AA34" i="1" s="1"/>
  <c r="AB32" i="1"/>
  <c r="AB34" i="1" s="1"/>
  <c r="AC32" i="1"/>
  <c r="AC34" i="1" s="1"/>
  <c r="AD32" i="1"/>
  <c r="AD34" i="1" s="1"/>
  <c r="AE32" i="1"/>
  <c r="AE34" i="1" s="1"/>
  <c r="AE35" i="1" s="1"/>
  <c r="AF32" i="1"/>
  <c r="AF34" i="1" s="1"/>
  <c r="AG32" i="1"/>
  <c r="AG34" i="1" s="1"/>
  <c r="AH32" i="1"/>
  <c r="AH34" i="1" s="1"/>
  <c r="AH35" i="1" s="1"/>
  <c r="AI32" i="1"/>
  <c r="AI34" i="1" s="1"/>
  <c r="AI35" i="1" s="1"/>
  <c r="AJ32" i="1"/>
  <c r="AJ34" i="1" s="1"/>
  <c r="AJ35" i="1" s="1"/>
  <c r="AK32" i="1"/>
  <c r="AK34" i="1" s="1"/>
  <c r="AK35" i="1" s="1"/>
  <c r="AL32" i="1"/>
  <c r="AL34" i="1" s="1"/>
  <c r="AL35" i="1" s="1"/>
  <c r="AM32" i="1"/>
  <c r="AM34" i="1" s="1"/>
  <c r="AM35" i="1" s="1"/>
  <c r="AN32" i="1"/>
  <c r="AN34" i="1" s="1"/>
  <c r="AN35" i="1" s="1"/>
  <c r="AO32" i="1"/>
  <c r="AO34" i="1" s="1"/>
  <c r="AO35" i="1" s="1"/>
  <c r="AP32" i="1"/>
  <c r="AP34" i="1" s="1"/>
  <c r="AP35" i="1" s="1"/>
  <c r="B31" i="1"/>
  <c r="C31" i="1"/>
  <c r="C33" i="1" s="1"/>
  <c r="D31" i="1"/>
  <c r="D33" i="1" s="1"/>
  <c r="E31" i="1"/>
  <c r="E33" i="1" s="1"/>
  <c r="F31" i="1"/>
  <c r="F33" i="1" s="1"/>
  <c r="G31" i="1"/>
  <c r="G33" i="1" s="1"/>
  <c r="H31" i="1"/>
  <c r="H33" i="1" s="1"/>
  <c r="I31" i="1"/>
  <c r="I33" i="1" s="1"/>
  <c r="I35" i="1" s="1"/>
  <c r="J31" i="1"/>
  <c r="J33" i="1" s="1"/>
  <c r="J35" i="1" s="1"/>
  <c r="K31" i="1"/>
  <c r="K33" i="1" s="1"/>
  <c r="K35" i="1" s="1"/>
  <c r="L31" i="1"/>
  <c r="L33" i="1" s="1"/>
  <c r="L35" i="1" s="1"/>
  <c r="M31" i="1"/>
  <c r="M33" i="1" s="1"/>
  <c r="M35" i="1" s="1"/>
  <c r="N31" i="1"/>
  <c r="N33" i="1" s="1"/>
  <c r="N35" i="1" s="1"/>
  <c r="O31" i="1"/>
  <c r="O33" i="1" s="1"/>
  <c r="O35" i="1" s="1"/>
  <c r="P31" i="1"/>
  <c r="P33" i="1" s="1"/>
  <c r="P35" i="1" s="1"/>
  <c r="Q31" i="1"/>
  <c r="Q33" i="1" s="1"/>
  <c r="Q35" i="1" s="1"/>
  <c r="R31" i="1"/>
  <c r="R33" i="1" s="1"/>
  <c r="R35" i="1" s="1"/>
  <c r="S31" i="1"/>
  <c r="S33" i="1" s="1"/>
  <c r="S35" i="1" s="1"/>
  <c r="T31" i="1"/>
  <c r="T33" i="1" s="1"/>
  <c r="T35" i="1" s="1"/>
  <c r="U31" i="1"/>
  <c r="U33" i="1" s="1"/>
  <c r="U35" i="1" s="1"/>
  <c r="V31" i="1"/>
  <c r="V33" i="1" s="1"/>
  <c r="V35" i="1" s="1"/>
  <c r="W31" i="1"/>
  <c r="W33" i="1" s="1"/>
  <c r="W35" i="1" s="1"/>
  <c r="X31" i="1"/>
  <c r="X33" i="1" s="1"/>
  <c r="X35" i="1" s="1"/>
  <c r="Y31" i="1"/>
  <c r="Y33" i="1" s="1"/>
  <c r="Y35" i="1" s="1"/>
  <c r="Z31" i="1"/>
  <c r="Z33" i="1" s="1"/>
  <c r="Z35" i="1" s="1"/>
  <c r="AA31" i="1"/>
  <c r="AA33" i="1" s="1"/>
  <c r="AA35" i="1" s="1"/>
  <c r="AB31" i="1"/>
  <c r="AB33" i="1" s="1"/>
  <c r="AB35" i="1" s="1"/>
  <c r="AC31" i="1"/>
  <c r="AC33" i="1" s="1"/>
  <c r="AD31" i="1"/>
  <c r="AD33" i="1" s="1"/>
  <c r="AE31" i="1"/>
  <c r="AE33" i="1" s="1"/>
  <c r="AF31" i="1"/>
  <c r="AF33" i="1" s="1"/>
  <c r="AG31" i="1"/>
  <c r="AG33" i="1" s="1"/>
  <c r="AH31" i="1"/>
  <c r="AH33" i="1" s="1"/>
  <c r="AI31" i="1"/>
  <c r="AI33" i="1" s="1"/>
  <c r="AJ31" i="1"/>
  <c r="AJ33" i="1" s="1"/>
  <c r="AK31" i="1"/>
  <c r="AK33" i="1" s="1"/>
  <c r="AL31" i="1"/>
  <c r="AL33" i="1" s="1"/>
  <c r="AM31" i="1"/>
  <c r="AM33" i="1" s="1"/>
  <c r="AN31" i="1"/>
  <c r="AN33" i="1" s="1"/>
  <c r="AO31" i="1"/>
  <c r="AO33" i="1" s="1"/>
  <c r="AP31" i="1"/>
  <c r="AP33" i="1" s="1"/>
  <c r="B37" i="1" l="1"/>
  <c r="B35" i="1"/>
  <c r="AF35" i="1"/>
  <c r="AG35" i="1"/>
  <c r="C35" i="1"/>
  <c r="D35" i="1"/>
  <c r="E35" i="1"/>
  <c r="F35" i="1"/>
  <c r="G35" i="1"/>
  <c r="H35" i="1"/>
  <c r="AC35" i="1"/>
  <c r="AD35" i="1"/>
  <c r="B38" i="1"/>
  <c r="B39" i="1" l="1"/>
</calcChain>
</file>

<file path=xl/sharedStrings.xml><?xml version="1.0" encoding="utf-8"?>
<sst xmlns="http://schemas.openxmlformats.org/spreadsheetml/2006/main" count="197" uniqueCount="89">
  <si>
    <t>architettura del paesaggio (LM-3, 3/S)</t>
  </si>
  <si>
    <t>architettura e ingegneria edile-architettura (LM-4, LM-4 C.U., 4/S)</t>
  </si>
  <si>
    <t>biologia (LM-6, 6/S)</t>
  </si>
  <si>
    <t>biotecnologie agrarie (LM-7, 7/S)</t>
  </si>
  <si>
    <t>biotecnologie industriali (LM-8, 8/S)</t>
  </si>
  <si>
    <t>biotecnologie mediche, veterinarie e farmaceutiche (LM-9, 9/S)</t>
  </si>
  <si>
    <t>fisica (LM-17, 20/S)</t>
  </si>
  <si>
    <t>informatica (LM-18, 23/S)</t>
  </si>
  <si>
    <t>ingegneria aerospaziale e astronautica (LM-20, 25/S)</t>
  </si>
  <si>
    <t>ingegneria biomedica (LM-21, 26/S)</t>
  </si>
  <si>
    <t>ingegneria chimica (LM-22, 27/S)</t>
  </si>
  <si>
    <t>ingegneria civile (LM-23, 28/S)</t>
  </si>
  <si>
    <t>ingegneria dei materiali (LM-53, LM-53ante21, 61/S)</t>
  </si>
  <si>
    <t>ingegneria dei sistemi edilizi (LM-24)</t>
  </si>
  <si>
    <t>ingegneria della sicurezza (LM-26)</t>
  </si>
  <si>
    <t>ingegneria dell'automazione (LM-25, 29/S)</t>
  </si>
  <si>
    <t>ingegneria delle telecomunicazioni (LM-27, 30/S)</t>
  </si>
  <si>
    <t>ingegneria elettrica (LM-28, 31/S)</t>
  </si>
  <si>
    <t>ingegneria elettronica (LM-29, 32/S)</t>
  </si>
  <si>
    <t>ingegneria energetica e nucleare (LM-30, 33/S)</t>
  </si>
  <si>
    <t>ingegneria gestionale (LM-31, 34/S)</t>
  </si>
  <si>
    <t>ingegneria informatica (LM-32, 35/S)</t>
  </si>
  <si>
    <t>ingegneria meccanica (LM-33, 36/S)</t>
  </si>
  <si>
    <t>ingegneria navale (LM-34, 37/S)</t>
  </si>
  <si>
    <t>ingegneria per l'ambiente e il territorio (LM-35, 38/S)</t>
  </si>
  <si>
    <t>matematica (LM-40, 45/S)</t>
  </si>
  <si>
    <t>modellistica matematico-fisica per l'ingegneria (LM-44, 50/S)</t>
  </si>
  <si>
    <t>pianificazione territoriale urbanistica e ambientale (LM-48, 54/S)</t>
  </si>
  <si>
    <t>scienze chimiche (LM-54, 62/S)</t>
  </si>
  <si>
    <t>scienze della natura (LM-60, 68/S)</t>
  </si>
  <si>
    <t>scienze della nutrizione umana (LM-61, 69/S)</t>
  </si>
  <si>
    <t>scienze dell'universo (LM-58, 66/S)</t>
  </si>
  <si>
    <t>scienze e tecnologie della chimica industriale (LM-71, 81/S)</t>
  </si>
  <si>
    <t>scienze e tecnologie geologiche (LM-74, 86/S)</t>
  </si>
  <si>
    <t>scienze e tecnologie per l'ambiente e il territorio (LM-75, 82/S)</t>
  </si>
  <si>
    <t>scienze geofisiche (LM-79, 85/S)</t>
  </si>
  <si>
    <t>scienze per la conservazione dei beni culturali (LM-11, 12/S)</t>
  </si>
  <si>
    <t>scienze statistiche (LM-82, 48/S, 90/S, 92/S)</t>
  </si>
  <si>
    <t>scienze statistiche attuariali e finanziarie (LM-83, 91/S)</t>
  </si>
  <si>
    <t>sicurezza informatica (LM-66)</t>
  </si>
  <si>
    <t>tecniche e metodi per la societa' dell'informazione (LM-91, 100/S)</t>
  </si>
  <si>
    <t>Uomini</t>
  </si>
  <si>
    <t>Donne</t>
  </si>
  <si>
    <t>Totale</t>
  </si>
  <si>
    <t>architettura del paesaggio (LM-3, 3/S)(1)</t>
  </si>
  <si>
    <t>architettura e ingegneria edile-architettura (LM-4, LM-4 C.U., 4/S)(1)</t>
  </si>
  <si>
    <t>biologia (LM-6, 6/S)(1)</t>
  </si>
  <si>
    <t>biotecnologie industriali (LM-8, 8/S)(1)</t>
  </si>
  <si>
    <t>biotecnologie mediche, veterinarie e farmaceutiche (LM-9, 9/S)(1)</t>
  </si>
  <si>
    <t>fisica (LM-17, 20/S)(1)</t>
  </si>
  <si>
    <t>informatica (LM-18, 23/S)(1)</t>
  </si>
  <si>
    <t>ingegneria aerospaziale e astronautica (LM-20, 25/S)(1)</t>
  </si>
  <si>
    <t>ingegneria biomedica (LM-21, 26/S)(1)</t>
  </si>
  <si>
    <t>ingegneria chimica (LM-22, 27/S)(1)</t>
  </si>
  <si>
    <t>ingegneria dei materiali (LM-53, LM-53ante21, 61/S)(1)</t>
  </si>
  <si>
    <t>ingegneria dei sistemi edilizi (LM-24)(1)</t>
  </si>
  <si>
    <t>ingegneria della sicurezza (LM-26)(1)</t>
  </si>
  <si>
    <t>ingegneria dell'automazione (LM-25, 29/S)(1)</t>
  </si>
  <si>
    <t>ingegneria delle telecomunicazioni (LM-27, 30/S)(1)</t>
  </si>
  <si>
    <t>ingegneria elettronica (LM-29, 32/S)(1)</t>
  </si>
  <si>
    <t>ingegneria gestionale (LM-31, 34/S)(1)</t>
  </si>
  <si>
    <t>ingegneria informatica (LM-32, 35/S)(1)</t>
  </si>
  <si>
    <t>ingegneria meccanica (LM-33, 36/S)(1)</t>
  </si>
  <si>
    <t>matematica (LM-40, 45/S)(1)</t>
  </si>
  <si>
    <t>modellistica matematico-fisica per l'ingegneria (LM-44, 50/S)(1)</t>
  </si>
  <si>
    <t>pianificazione territoriale urbanistica e ambientale (LM-48, 54/S)(1)</t>
  </si>
  <si>
    <t>scienze chimiche (LM-54, 62/S)(1)</t>
  </si>
  <si>
    <t>scienze della natura (LM-60, 68/S)(1)</t>
  </si>
  <si>
    <t>scienze dell'universo (LM-58, 66/S)(1)</t>
  </si>
  <si>
    <t>scienze e tecnologie della chimica industriale (LM-71, 81/S)(1)</t>
  </si>
  <si>
    <t>scienze e tecnologie geologiche (LM-74, 86/S)(1)</t>
  </si>
  <si>
    <t>scienze per la conservazione dei beni culturali (LM-11, 12/S)(1)</t>
  </si>
  <si>
    <t>sicurezza informatica (LM-66)(1)</t>
  </si>
  <si>
    <t>tecniche e metodi per la societa' dell'informazione (LM-91, 100/S)(1)</t>
  </si>
  <si>
    <t>Popolazione analizzata - 1 anno</t>
  </si>
  <si>
    <t>Tasso di occupazione - 1 anno</t>
  </si>
  <si>
    <t>Retribuzione mensile netta (medie, in euro) - 1 anno</t>
  </si>
  <si>
    <t>Retribuzione mensile netta (medie, in euro) - 5 anni</t>
  </si>
  <si>
    <t>Tasso di occupazione - 5 anni</t>
  </si>
  <si>
    <t>Polazione analizzata - 5 anni</t>
  </si>
  <si>
    <t>Differenza salario (1 anno)</t>
  </si>
  <si>
    <t>Differenza salario (5 anni)</t>
  </si>
  <si>
    <t>N</t>
  </si>
  <si>
    <t>Media differenze (1 anno)</t>
  </si>
  <si>
    <t>Media differenze (5 anni)</t>
  </si>
  <si>
    <t>Gap (1 anno)</t>
  </si>
  <si>
    <t>Gap (5 anni)</t>
  </si>
  <si>
    <t>Differenza Gap (5anni -1anno)</t>
  </si>
  <si>
    <t>Media differenza 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</si>
</sst>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0" xfId="0" applyFill="1"/>
    <xf numFmtId="0" fontId="0" fillId="0" borderId="11" xfId="0" applyBorder="1"/>
    <xf numFmtId="0" fontId="0" fillId="36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F4D07-E157-4578-AEA1-DAD0795F927B}">
  <dimension ref="A1:AP41"/>
  <sheetViews>
    <sheetView tabSelected="1" topLeftCell="A16" zoomScale="85" zoomScaleNormal="85" workbookViewId="0">
      <selection activeCell="C47" sqref="C47"/>
    </sheetView>
  </sheetViews>
  <sheetFormatPr defaultRowHeight="15" x14ac:dyDescent="0.25"/>
  <cols>
    <col min="1" max="1" width="47.5703125" bestFit="1" customWidth="1"/>
    <col min="2" max="2" width="37" bestFit="1" customWidth="1"/>
    <col min="3" max="3" width="61.140625" bestFit="1" customWidth="1"/>
    <col min="4" max="4" width="20.7109375" bestFit="1" customWidth="1"/>
    <col min="5" max="5" width="30.140625" bestFit="1" customWidth="1"/>
    <col min="6" max="6" width="35.5703125" bestFit="1" customWidth="1"/>
    <col min="7" max="7" width="59.7109375" bestFit="1" customWidth="1"/>
    <col min="8" max="8" width="20.28515625" bestFit="1" customWidth="1"/>
    <col min="9" max="9" width="26" bestFit="1" customWidth="1"/>
    <col min="10" max="10" width="50.85546875" bestFit="1" customWidth="1"/>
    <col min="11" max="11" width="35.140625" bestFit="1" customWidth="1"/>
    <col min="12" max="12" width="32.7109375" bestFit="1" customWidth="1"/>
    <col min="13" max="13" width="27.5703125" bestFit="1" customWidth="1"/>
    <col min="14" max="14" width="49.28515625" bestFit="1" customWidth="1"/>
    <col min="15" max="15" width="36.28515625" bestFit="1" customWidth="1"/>
    <col min="16" max="16" width="34.140625" bestFit="1" customWidth="1"/>
    <col min="17" max="17" width="41.140625" bestFit="1" customWidth="1"/>
    <col min="18" max="18" width="47.140625" bestFit="1" customWidth="1"/>
    <col min="19" max="19" width="30.28515625" bestFit="1" customWidth="1"/>
    <col min="20" max="20" width="35.140625" bestFit="1" customWidth="1"/>
    <col min="21" max="21" width="42.28515625" bestFit="1" customWidth="1"/>
    <col min="22" max="22" width="34.85546875" bestFit="1" customWidth="1"/>
    <col min="23" max="23" width="36" bestFit="1" customWidth="1"/>
    <col min="24" max="24" width="35.42578125" bestFit="1" customWidth="1"/>
    <col min="25" max="25" width="28.85546875" bestFit="1" customWidth="1"/>
    <col min="26" max="26" width="47.42578125" bestFit="1" customWidth="1"/>
    <col min="27" max="27" width="26.28515625" bestFit="1" customWidth="1"/>
    <col min="28" max="28" width="58.28515625" bestFit="1" customWidth="1"/>
    <col min="29" max="29" width="61.5703125" bestFit="1" customWidth="1"/>
    <col min="30" max="30" width="31" bestFit="1" customWidth="1"/>
    <col min="31" max="31" width="33.5703125" bestFit="1" customWidth="1"/>
    <col min="32" max="32" width="41.140625" bestFit="1" customWidth="1"/>
    <col min="33" max="33" width="34.28515625" bestFit="1" customWidth="1"/>
    <col min="34" max="34" width="56.7109375" bestFit="1" customWidth="1"/>
    <col min="35" max="35" width="56.7109375" customWidth="1"/>
    <col min="36" max="37" width="56" bestFit="1" customWidth="1"/>
    <col min="38" max="38" width="54.7109375" bestFit="1" customWidth="1"/>
    <col min="39" max="39" width="57.140625" bestFit="1" customWidth="1"/>
    <col min="40" max="41" width="50" bestFit="1" customWidth="1"/>
    <col min="42" max="42" width="59.42578125" bestFit="1" customWidth="1"/>
    <col min="44" max="44" width="8.42578125" bestFit="1" customWidth="1"/>
  </cols>
  <sheetData>
    <row r="1" spans="1:42" x14ac:dyDescent="0.25">
      <c r="A1" s="3" t="s">
        <v>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2" x14ac:dyDescent="0.2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38</v>
      </c>
      <c r="AO2" s="2" t="s">
        <v>39</v>
      </c>
      <c r="AP2" s="2" t="s">
        <v>40</v>
      </c>
    </row>
    <row r="3" spans="1:42" x14ac:dyDescent="0.25">
      <c r="A3" s="4" t="s">
        <v>41</v>
      </c>
      <c r="B3" s="2">
        <v>38</v>
      </c>
      <c r="C3" s="2">
        <v>40.700000000000003</v>
      </c>
      <c r="D3" s="2">
        <v>26.9</v>
      </c>
      <c r="E3" s="2">
        <v>46.6</v>
      </c>
      <c r="F3" s="2">
        <v>40.9</v>
      </c>
      <c r="G3" s="2">
        <v>25.6</v>
      </c>
      <c r="H3" s="2">
        <v>71.400000000000006</v>
      </c>
      <c r="I3" s="2">
        <v>82.8</v>
      </c>
      <c r="J3" s="2">
        <v>81</v>
      </c>
      <c r="K3" s="2">
        <v>37</v>
      </c>
      <c r="L3" s="2">
        <v>50.1</v>
      </c>
      <c r="M3" s="2">
        <v>69.3</v>
      </c>
      <c r="N3" s="2">
        <v>64.3</v>
      </c>
      <c r="O3" s="2">
        <v>53.3</v>
      </c>
      <c r="P3" s="2">
        <v>69.099999999999994</v>
      </c>
      <c r="Q3" s="2">
        <v>82.5</v>
      </c>
      <c r="R3" s="2">
        <v>75.099999999999994</v>
      </c>
      <c r="S3" s="2">
        <v>85</v>
      </c>
      <c r="T3" s="2">
        <v>83.7</v>
      </c>
      <c r="U3" s="2">
        <v>79.3</v>
      </c>
      <c r="V3" s="2">
        <v>61</v>
      </c>
      <c r="W3" s="2">
        <v>81.3</v>
      </c>
      <c r="X3" s="2">
        <v>86.5</v>
      </c>
      <c r="Y3" s="2">
        <v>75.7</v>
      </c>
      <c r="Z3" s="2">
        <v>55.7</v>
      </c>
      <c r="AA3" s="2">
        <v>51.3</v>
      </c>
      <c r="AB3" s="2">
        <v>69.400000000000006</v>
      </c>
      <c r="AC3" s="2">
        <v>52.3</v>
      </c>
      <c r="AD3" s="2">
        <v>48.8</v>
      </c>
      <c r="AE3" s="2">
        <v>38.799999999999997</v>
      </c>
      <c r="AF3" s="2">
        <v>23.9</v>
      </c>
      <c r="AG3" s="2">
        <v>53.7</v>
      </c>
      <c r="AH3" s="2">
        <v>57.3</v>
      </c>
      <c r="AI3" s="2">
        <v>61.2</v>
      </c>
      <c r="AJ3" s="2">
        <v>43.1</v>
      </c>
      <c r="AK3" s="2">
        <v>66.099999999999994</v>
      </c>
      <c r="AL3" s="2">
        <v>17.399999999999999</v>
      </c>
      <c r="AM3" s="2">
        <v>49.3</v>
      </c>
      <c r="AN3" s="2">
        <v>62.9</v>
      </c>
      <c r="AO3" s="2">
        <v>88.4</v>
      </c>
      <c r="AP3" s="2">
        <v>62.5</v>
      </c>
    </row>
    <row r="4" spans="1:42" x14ac:dyDescent="0.25">
      <c r="A4" s="4" t="s">
        <v>42</v>
      </c>
      <c r="B4" s="2">
        <v>62</v>
      </c>
      <c r="C4" s="2">
        <v>59.3</v>
      </c>
      <c r="D4" s="2">
        <v>73.099999999999994</v>
      </c>
      <c r="E4" s="2">
        <v>53.4</v>
      </c>
      <c r="F4" s="2">
        <v>59.1</v>
      </c>
      <c r="G4" s="2">
        <v>74.400000000000006</v>
      </c>
      <c r="H4" s="2">
        <v>28.6</v>
      </c>
      <c r="I4" s="2">
        <v>17.2</v>
      </c>
      <c r="J4" s="2">
        <v>19</v>
      </c>
      <c r="K4" s="2">
        <v>63</v>
      </c>
      <c r="L4" s="2">
        <v>49.9</v>
      </c>
      <c r="M4" s="2">
        <v>30.7</v>
      </c>
      <c r="N4" s="2">
        <v>35.700000000000003</v>
      </c>
      <c r="O4" s="2">
        <v>46.7</v>
      </c>
      <c r="P4" s="2">
        <v>30.9</v>
      </c>
      <c r="Q4" s="2">
        <v>17.5</v>
      </c>
      <c r="R4" s="2">
        <v>24.9</v>
      </c>
      <c r="S4" s="2">
        <v>15</v>
      </c>
      <c r="T4" s="2">
        <v>16.3</v>
      </c>
      <c r="U4" s="2">
        <v>20.7</v>
      </c>
      <c r="V4" s="2">
        <v>39</v>
      </c>
      <c r="W4" s="2">
        <v>18.7</v>
      </c>
      <c r="X4" s="2">
        <v>13.5</v>
      </c>
      <c r="Y4" s="2">
        <v>24.3</v>
      </c>
      <c r="Z4" s="2">
        <v>44.3</v>
      </c>
      <c r="AA4" s="2">
        <v>48.7</v>
      </c>
      <c r="AB4" s="2">
        <v>30.6</v>
      </c>
      <c r="AC4" s="2">
        <v>47.7</v>
      </c>
      <c r="AD4" s="2">
        <v>51.2</v>
      </c>
      <c r="AE4" s="2">
        <v>61.2</v>
      </c>
      <c r="AF4" s="2">
        <v>76.099999999999994</v>
      </c>
      <c r="AG4" s="2">
        <v>46.3</v>
      </c>
      <c r="AH4" s="2">
        <v>42.7</v>
      </c>
      <c r="AI4" s="2">
        <v>38.799999999999997</v>
      </c>
      <c r="AJ4" s="2">
        <v>56.9</v>
      </c>
      <c r="AK4" s="2">
        <v>33.9</v>
      </c>
      <c r="AL4" s="2">
        <v>82.6</v>
      </c>
      <c r="AM4" s="2">
        <v>50.7</v>
      </c>
      <c r="AN4" s="2">
        <v>37.1</v>
      </c>
      <c r="AO4" s="2">
        <v>11.6</v>
      </c>
      <c r="AP4" s="2">
        <v>37.5</v>
      </c>
    </row>
    <row r="5" spans="1:42" x14ac:dyDescent="0.25">
      <c r="A5" s="3" t="s">
        <v>75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</row>
    <row r="6" spans="1:42" x14ac:dyDescent="0.25">
      <c r="A6" s="4" t="s">
        <v>41</v>
      </c>
      <c r="B6" s="2">
        <v>95</v>
      </c>
      <c r="C6" s="2">
        <v>87.4</v>
      </c>
      <c r="D6" s="2">
        <v>71</v>
      </c>
      <c r="E6" s="2">
        <v>81.8</v>
      </c>
      <c r="F6" s="2">
        <v>86.2</v>
      </c>
      <c r="G6" s="2">
        <v>77.099999999999994</v>
      </c>
      <c r="H6" s="2">
        <v>90.9</v>
      </c>
      <c r="I6" s="2">
        <v>93.3</v>
      </c>
      <c r="J6" s="2">
        <v>92</v>
      </c>
      <c r="K6" s="2">
        <v>91.2</v>
      </c>
      <c r="L6" s="2">
        <v>90.8</v>
      </c>
      <c r="M6" s="2">
        <v>93.2</v>
      </c>
      <c r="N6" s="2">
        <v>90.9</v>
      </c>
      <c r="O6" s="2">
        <v>92.4</v>
      </c>
      <c r="P6" s="2">
        <v>92.9</v>
      </c>
      <c r="Q6" s="2">
        <v>93.7</v>
      </c>
      <c r="R6" s="2">
        <v>90.6</v>
      </c>
      <c r="S6" s="2">
        <v>92.7</v>
      </c>
      <c r="T6" s="2">
        <v>95.2</v>
      </c>
      <c r="U6" s="2">
        <v>95.1</v>
      </c>
      <c r="V6" s="2">
        <v>93.6</v>
      </c>
      <c r="W6" s="2">
        <v>94.3</v>
      </c>
      <c r="X6" s="2">
        <v>93.1</v>
      </c>
      <c r="Y6" s="2">
        <v>94.8</v>
      </c>
      <c r="Z6" s="2">
        <v>92.1</v>
      </c>
      <c r="AA6" s="2">
        <v>89.4</v>
      </c>
      <c r="AB6" s="2">
        <v>84.9</v>
      </c>
      <c r="AC6" s="2">
        <v>89.3</v>
      </c>
      <c r="AD6" s="2">
        <v>86.7</v>
      </c>
      <c r="AE6" s="2">
        <v>75.3</v>
      </c>
      <c r="AF6" s="2">
        <v>75.099999999999994</v>
      </c>
      <c r="AG6" s="2">
        <v>82.9</v>
      </c>
      <c r="AH6" s="2">
        <v>91.2</v>
      </c>
      <c r="AI6" s="2">
        <v>86.7</v>
      </c>
      <c r="AJ6" s="2">
        <v>87.8</v>
      </c>
      <c r="AK6" s="2">
        <v>68.400000000000006</v>
      </c>
      <c r="AL6" s="2">
        <v>71.400000000000006</v>
      </c>
      <c r="AM6" s="2">
        <v>89.7</v>
      </c>
      <c r="AN6" s="2">
        <v>87.1</v>
      </c>
      <c r="AO6" s="2">
        <v>93.5</v>
      </c>
      <c r="AP6" s="2">
        <v>92.2</v>
      </c>
    </row>
    <row r="7" spans="1:42" x14ac:dyDescent="0.25">
      <c r="A7" s="4" t="s">
        <v>42</v>
      </c>
      <c r="B7" s="2">
        <v>75.8</v>
      </c>
      <c r="C7" s="2">
        <v>84.1</v>
      </c>
      <c r="D7" s="2">
        <v>72.900000000000006</v>
      </c>
      <c r="E7" s="2">
        <v>84.2</v>
      </c>
      <c r="F7" s="2">
        <v>85.7</v>
      </c>
      <c r="G7" s="2">
        <v>79.900000000000006</v>
      </c>
      <c r="H7" s="2">
        <v>85.2</v>
      </c>
      <c r="I7" s="2">
        <v>94.1</v>
      </c>
      <c r="J7" s="2">
        <v>96.4</v>
      </c>
      <c r="K7" s="2">
        <v>92.5</v>
      </c>
      <c r="L7" s="2">
        <v>90.2</v>
      </c>
      <c r="M7" s="2">
        <v>92.6</v>
      </c>
      <c r="N7" s="2">
        <v>92</v>
      </c>
      <c r="O7" s="2">
        <v>96</v>
      </c>
      <c r="P7" s="2">
        <v>94.7</v>
      </c>
      <c r="Q7" s="2">
        <v>94.9</v>
      </c>
      <c r="R7" s="2">
        <v>95.2</v>
      </c>
      <c r="S7" s="2">
        <v>93.3</v>
      </c>
      <c r="T7" s="2">
        <v>97.7</v>
      </c>
      <c r="U7" s="2">
        <v>99</v>
      </c>
      <c r="V7" s="2">
        <v>95.6</v>
      </c>
      <c r="W7" s="2">
        <v>95.7</v>
      </c>
      <c r="X7" s="2">
        <v>92.4</v>
      </c>
      <c r="Y7" s="2">
        <v>92.9</v>
      </c>
      <c r="Z7" s="2">
        <v>89.9</v>
      </c>
      <c r="AA7" s="2">
        <v>87.5</v>
      </c>
      <c r="AB7" s="2">
        <v>83.3</v>
      </c>
      <c r="AC7" s="2">
        <v>86.7</v>
      </c>
      <c r="AD7" s="2">
        <v>91.4</v>
      </c>
      <c r="AE7" s="2">
        <v>71</v>
      </c>
      <c r="AF7" s="2">
        <v>71</v>
      </c>
      <c r="AG7" s="2">
        <v>92.9</v>
      </c>
      <c r="AH7" s="2">
        <v>89.1</v>
      </c>
      <c r="AI7" s="2">
        <v>91.2</v>
      </c>
      <c r="AJ7" s="2">
        <v>82.5</v>
      </c>
      <c r="AK7" s="2">
        <v>81.8</v>
      </c>
      <c r="AL7" s="2">
        <v>75.900000000000006</v>
      </c>
      <c r="AM7" s="2">
        <v>93.2</v>
      </c>
      <c r="AN7" s="2">
        <v>86.2</v>
      </c>
      <c r="AO7" s="2">
        <v>100</v>
      </c>
      <c r="AP7" s="2">
        <v>87.2</v>
      </c>
    </row>
    <row r="8" spans="1:42" x14ac:dyDescent="0.25">
      <c r="A8" s="2" t="s">
        <v>43</v>
      </c>
      <c r="B8" s="2">
        <v>83</v>
      </c>
      <c r="C8" s="2">
        <v>85.5</v>
      </c>
      <c r="D8" s="2">
        <v>72.400000000000006</v>
      </c>
      <c r="E8" s="2">
        <v>83.1</v>
      </c>
      <c r="F8" s="2">
        <v>85.9</v>
      </c>
      <c r="G8" s="2">
        <v>79.2</v>
      </c>
      <c r="H8" s="2">
        <v>89.4</v>
      </c>
      <c r="I8" s="2">
        <v>93.4</v>
      </c>
      <c r="J8" s="2">
        <v>92.8</v>
      </c>
      <c r="K8" s="2">
        <v>92</v>
      </c>
      <c r="L8" s="2">
        <v>90.5</v>
      </c>
      <c r="M8" s="2">
        <v>93</v>
      </c>
      <c r="N8" s="2">
        <v>91.3</v>
      </c>
      <c r="O8" s="2">
        <v>94</v>
      </c>
      <c r="P8" s="2">
        <v>93.4</v>
      </c>
      <c r="Q8" s="2">
        <v>93.9</v>
      </c>
      <c r="R8" s="2">
        <v>91.6</v>
      </c>
      <c r="S8" s="2">
        <v>92.8</v>
      </c>
      <c r="T8" s="2">
        <v>95.6</v>
      </c>
      <c r="U8" s="2">
        <v>95.9</v>
      </c>
      <c r="V8" s="2">
        <v>94.4</v>
      </c>
      <c r="W8" s="2">
        <v>94.5</v>
      </c>
      <c r="X8" s="2">
        <v>93</v>
      </c>
      <c r="Y8" s="2">
        <v>94.3</v>
      </c>
      <c r="Z8" s="2">
        <v>91.1</v>
      </c>
      <c r="AA8" s="2">
        <v>88.5</v>
      </c>
      <c r="AB8" s="2">
        <v>84.4</v>
      </c>
      <c r="AC8" s="2">
        <v>88.1</v>
      </c>
      <c r="AD8" s="2">
        <v>89.2</v>
      </c>
      <c r="AE8" s="2">
        <v>72.5</v>
      </c>
      <c r="AF8" s="2">
        <v>72</v>
      </c>
      <c r="AG8" s="2">
        <v>87</v>
      </c>
      <c r="AH8" s="2">
        <v>90.3</v>
      </c>
      <c r="AI8" s="2">
        <v>88.6</v>
      </c>
      <c r="AJ8" s="2">
        <v>84.8</v>
      </c>
      <c r="AK8" s="2">
        <v>73.3</v>
      </c>
      <c r="AL8" s="2">
        <v>75.400000000000006</v>
      </c>
      <c r="AM8" s="2">
        <v>91.4</v>
      </c>
      <c r="AN8" s="2">
        <v>86.7</v>
      </c>
      <c r="AO8" s="2">
        <v>94.2</v>
      </c>
      <c r="AP8" s="2">
        <v>90.4</v>
      </c>
    </row>
    <row r="9" spans="1:42" x14ac:dyDescent="0.25">
      <c r="A9" s="2"/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8</v>
      </c>
      <c r="K9" s="2" t="s">
        <v>9</v>
      </c>
      <c r="L9" s="2" t="s">
        <v>10</v>
      </c>
      <c r="M9" s="2" t="s">
        <v>11</v>
      </c>
      <c r="N9" s="2" t="s">
        <v>12</v>
      </c>
      <c r="O9" s="2" t="s">
        <v>13</v>
      </c>
      <c r="P9" s="2" t="s">
        <v>14</v>
      </c>
      <c r="Q9" s="2" t="s">
        <v>15</v>
      </c>
      <c r="R9" s="2" t="s">
        <v>16</v>
      </c>
      <c r="S9" s="2" t="s">
        <v>17</v>
      </c>
      <c r="T9" s="2" t="s">
        <v>18</v>
      </c>
      <c r="U9" s="2" t="s">
        <v>19</v>
      </c>
      <c r="V9" s="2" t="s">
        <v>20</v>
      </c>
      <c r="W9" s="2" t="s">
        <v>21</v>
      </c>
      <c r="X9" s="2" t="s">
        <v>22</v>
      </c>
      <c r="Y9" s="2" t="s">
        <v>23</v>
      </c>
      <c r="Z9" s="2" t="s">
        <v>24</v>
      </c>
      <c r="AA9" s="2" t="s">
        <v>25</v>
      </c>
      <c r="AB9" s="2" t="s">
        <v>26</v>
      </c>
      <c r="AC9" s="2" t="s">
        <v>27</v>
      </c>
      <c r="AD9" s="2" t="s">
        <v>28</v>
      </c>
      <c r="AE9" s="2" t="s">
        <v>29</v>
      </c>
      <c r="AF9" s="2" t="s">
        <v>30</v>
      </c>
      <c r="AG9" s="2" t="s">
        <v>31</v>
      </c>
      <c r="AH9" s="2" t="s">
        <v>32</v>
      </c>
      <c r="AI9" s="2" t="s">
        <v>33</v>
      </c>
      <c r="AJ9" s="2" t="s">
        <v>34</v>
      </c>
      <c r="AK9" s="2" t="s">
        <v>35</v>
      </c>
      <c r="AL9" s="2" t="s">
        <v>36</v>
      </c>
      <c r="AM9" s="2" t="s">
        <v>37</v>
      </c>
      <c r="AN9" s="2" t="s">
        <v>38</v>
      </c>
      <c r="AO9" s="2" t="s">
        <v>39</v>
      </c>
      <c r="AP9" s="2" t="s">
        <v>40</v>
      </c>
    </row>
    <row r="10" spans="1:42" x14ac:dyDescent="0.25">
      <c r="A10" s="3" t="s">
        <v>76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5">
      <c r="A11" s="4" t="s">
        <v>41</v>
      </c>
      <c r="B11" s="2">
        <v>1487</v>
      </c>
      <c r="C11" s="2">
        <v>1482</v>
      </c>
      <c r="D11" s="2">
        <v>1383</v>
      </c>
      <c r="E11" s="2">
        <v>1366</v>
      </c>
      <c r="F11" s="2">
        <v>1477</v>
      </c>
      <c r="G11" s="2">
        <v>1542</v>
      </c>
      <c r="H11" s="2">
        <v>1504</v>
      </c>
      <c r="I11" s="2">
        <v>1739</v>
      </c>
      <c r="J11" s="2">
        <v>1866</v>
      </c>
      <c r="K11" s="2">
        <v>1644</v>
      </c>
      <c r="L11" s="2">
        <v>1787</v>
      </c>
      <c r="M11" s="2">
        <v>1689</v>
      </c>
      <c r="N11" s="2">
        <v>1714</v>
      </c>
      <c r="O11" s="2">
        <v>1632</v>
      </c>
      <c r="P11" s="2">
        <v>1951</v>
      </c>
      <c r="Q11" s="2">
        <v>1826</v>
      </c>
      <c r="R11" s="2">
        <v>1806</v>
      </c>
      <c r="S11" s="2">
        <v>1871</v>
      </c>
      <c r="T11" s="2">
        <v>1857</v>
      </c>
      <c r="U11" s="2">
        <v>1730</v>
      </c>
      <c r="V11" s="2">
        <v>1801</v>
      </c>
      <c r="W11" s="2">
        <v>1812</v>
      </c>
      <c r="X11" s="2">
        <v>1819</v>
      </c>
      <c r="Y11" s="2">
        <v>1796</v>
      </c>
      <c r="Z11" s="2">
        <v>1604</v>
      </c>
      <c r="AA11" s="2">
        <v>1614</v>
      </c>
      <c r="AB11" s="2">
        <v>1853</v>
      </c>
      <c r="AC11" s="2">
        <v>1514</v>
      </c>
      <c r="AD11" s="2">
        <v>1533</v>
      </c>
      <c r="AE11" s="2">
        <v>1318</v>
      </c>
      <c r="AF11" s="2">
        <v>1378</v>
      </c>
      <c r="AG11" s="2">
        <v>1301</v>
      </c>
      <c r="AH11" s="2">
        <v>1588</v>
      </c>
      <c r="AI11" s="2">
        <v>1540</v>
      </c>
      <c r="AJ11" s="2">
        <v>1468</v>
      </c>
      <c r="AK11" s="2">
        <v>1626</v>
      </c>
      <c r="AL11" s="2">
        <v>1076</v>
      </c>
      <c r="AM11" s="2">
        <v>1675</v>
      </c>
      <c r="AN11" s="2">
        <v>1776</v>
      </c>
      <c r="AO11" s="2">
        <v>1806</v>
      </c>
      <c r="AP11" s="2">
        <v>1774</v>
      </c>
    </row>
    <row r="12" spans="1:42" x14ac:dyDescent="0.25">
      <c r="A12" s="4" t="s">
        <v>42</v>
      </c>
      <c r="B12" s="2">
        <v>1294</v>
      </c>
      <c r="C12" s="2">
        <v>1360</v>
      </c>
      <c r="D12" s="2">
        <v>1292</v>
      </c>
      <c r="E12" s="2">
        <v>1332</v>
      </c>
      <c r="F12" s="2">
        <v>1493</v>
      </c>
      <c r="G12" s="2">
        <v>1411</v>
      </c>
      <c r="H12" s="2">
        <v>1563</v>
      </c>
      <c r="I12" s="2">
        <v>1699</v>
      </c>
      <c r="J12" s="2">
        <v>1800</v>
      </c>
      <c r="K12" s="2">
        <v>1586</v>
      </c>
      <c r="L12" s="2">
        <v>1688</v>
      </c>
      <c r="M12" s="2">
        <v>1527</v>
      </c>
      <c r="N12" s="2">
        <v>1649</v>
      </c>
      <c r="O12" s="2">
        <v>1472</v>
      </c>
      <c r="P12" s="2">
        <v>1688</v>
      </c>
      <c r="Q12" s="2">
        <v>1839</v>
      </c>
      <c r="R12" s="2">
        <v>1726</v>
      </c>
      <c r="S12" s="2">
        <v>1857</v>
      </c>
      <c r="T12" s="2">
        <v>1734</v>
      </c>
      <c r="U12" s="2">
        <v>1713</v>
      </c>
      <c r="V12" s="2">
        <v>1732</v>
      </c>
      <c r="W12" s="2">
        <v>1670</v>
      </c>
      <c r="X12" s="2">
        <v>1758</v>
      </c>
      <c r="Y12" s="2">
        <v>1756</v>
      </c>
      <c r="Z12" s="2">
        <v>1566</v>
      </c>
      <c r="AA12" s="2">
        <v>1568</v>
      </c>
      <c r="AB12" s="2">
        <v>1706</v>
      </c>
      <c r="AC12" s="2">
        <v>1303</v>
      </c>
      <c r="AD12" s="2">
        <v>1496</v>
      </c>
      <c r="AE12" s="2">
        <v>1353</v>
      </c>
      <c r="AF12" s="2">
        <v>1236</v>
      </c>
      <c r="AG12" s="2">
        <v>1321</v>
      </c>
      <c r="AH12" s="2">
        <v>1629</v>
      </c>
      <c r="AI12" s="2">
        <v>1293</v>
      </c>
      <c r="AJ12" s="2">
        <v>1408</v>
      </c>
      <c r="AK12" s="2">
        <v>1292</v>
      </c>
      <c r="AL12" s="2">
        <v>1222</v>
      </c>
      <c r="AM12" s="2">
        <v>1712</v>
      </c>
      <c r="AN12" s="2">
        <v>1695</v>
      </c>
      <c r="AO12" s="2">
        <v>1529</v>
      </c>
      <c r="AP12" s="2">
        <v>1753</v>
      </c>
    </row>
    <row r="13" spans="1:42" x14ac:dyDescent="0.25">
      <c r="A13" s="2" t="s">
        <v>43</v>
      </c>
      <c r="B13" s="2">
        <v>1377</v>
      </c>
      <c r="C13" s="2">
        <v>1412</v>
      </c>
      <c r="D13" s="2">
        <v>1316</v>
      </c>
      <c r="E13" s="2">
        <v>1348</v>
      </c>
      <c r="F13" s="2">
        <v>1486</v>
      </c>
      <c r="G13" s="2">
        <v>1443</v>
      </c>
      <c r="H13" s="2">
        <v>1518</v>
      </c>
      <c r="I13" s="2">
        <v>1733</v>
      </c>
      <c r="J13" s="2">
        <v>1853</v>
      </c>
      <c r="K13" s="2">
        <v>1607</v>
      </c>
      <c r="L13" s="2">
        <v>1738</v>
      </c>
      <c r="M13" s="2">
        <v>1640</v>
      </c>
      <c r="N13" s="2">
        <v>1690</v>
      </c>
      <c r="O13" s="2">
        <v>1558</v>
      </c>
      <c r="P13" s="2">
        <v>1874</v>
      </c>
      <c r="Q13" s="2">
        <v>1828</v>
      </c>
      <c r="R13" s="2">
        <v>1788</v>
      </c>
      <c r="S13" s="2">
        <v>1869</v>
      </c>
      <c r="T13" s="2">
        <v>1838</v>
      </c>
      <c r="U13" s="2">
        <v>1726</v>
      </c>
      <c r="V13" s="2">
        <v>1775</v>
      </c>
      <c r="W13" s="2">
        <v>1786</v>
      </c>
      <c r="X13" s="2">
        <v>1811</v>
      </c>
      <c r="Y13" s="2">
        <v>1785</v>
      </c>
      <c r="Z13" s="2">
        <v>1586</v>
      </c>
      <c r="AA13" s="2">
        <v>1591</v>
      </c>
      <c r="AB13" s="2">
        <v>1810</v>
      </c>
      <c r="AC13" s="2">
        <v>1421</v>
      </c>
      <c r="AD13" s="2">
        <v>1512</v>
      </c>
      <c r="AE13" s="2">
        <v>1341</v>
      </c>
      <c r="AF13" s="2">
        <v>1270</v>
      </c>
      <c r="AG13" s="2">
        <v>1310</v>
      </c>
      <c r="AH13" s="2">
        <v>1605</v>
      </c>
      <c r="AI13" s="2">
        <v>1434</v>
      </c>
      <c r="AJ13" s="2">
        <v>1435</v>
      </c>
      <c r="AK13" s="2">
        <v>1489</v>
      </c>
      <c r="AL13" s="2">
        <v>1207</v>
      </c>
      <c r="AM13" s="2">
        <v>1693</v>
      </c>
      <c r="AN13" s="2">
        <v>1742</v>
      </c>
      <c r="AO13" s="2">
        <v>1773</v>
      </c>
      <c r="AP13" s="2">
        <v>1767</v>
      </c>
    </row>
    <row r="14" spans="1:42" s="5" customFormat="1" x14ac:dyDescent="0.25"/>
    <row r="15" spans="1:42" s="5" customFormat="1" x14ac:dyDescent="0.25"/>
    <row r="16" spans="1:42" s="5" customFormat="1" x14ac:dyDescent="0.25"/>
    <row r="17" spans="1:42" x14ac:dyDescent="0.25">
      <c r="A17" s="3" t="s">
        <v>79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6"/>
    </row>
    <row r="18" spans="1:42" x14ac:dyDescent="0.25">
      <c r="A18" s="2"/>
      <c r="B18" s="2" t="s">
        <v>44</v>
      </c>
      <c r="C18" s="2" t="s">
        <v>45</v>
      </c>
      <c r="D18" s="2" t="s">
        <v>46</v>
      </c>
      <c r="E18" s="2" t="s">
        <v>3</v>
      </c>
      <c r="F18" s="2" t="s">
        <v>47</v>
      </c>
      <c r="G18" s="2" t="s">
        <v>48</v>
      </c>
      <c r="H18" s="2" t="s">
        <v>49</v>
      </c>
      <c r="I18" s="2" t="s">
        <v>50</v>
      </c>
      <c r="J18" s="2" t="s">
        <v>51</v>
      </c>
      <c r="K18" s="2" t="s">
        <v>52</v>
      </c>
      <c r="L18" s="2" t="s">
        <v>53</v>
      </c>
      <c r="M18" s="2" t="s">
        <v>11</v>
      </c>
      <c r="N18" s="2" t="s">
        <v>54</v>
      </c>
      <c r="O18" s="2" t="s">
        <v>55</v>
      </c>
      <c r="P18" s="2" t="s">
        <v>56</v>
      </c>
      <c r="Q18" s="2" t="s">
        <v>57</v>
      </c>
      <c r="R18" s="2" t="s">
        <v>58</v>
      </c>
      <c r="S18" s="2" t="s">
        <v>17</v>
      </c>
      <c r="T18" s="2" t="s">
        <v>59</v>
      </c>
      <c r="U18" s="2" t="s">
        <v>19</v>
      </c>
      <c r="V18" s="2" t="s">
        <v>60</v>
      </c>
      <c r="W18" s="2" t="s">
        <v>61</v>
      </c>
      <c r="X18" s="2" t="s">
        <v>62</v>
      </c>
      <c r="Y18" s="2" t="s">
        <v>23</v>
      </c>
      <c r="Z18" s="2" t="s">
        <v>24</v>
      </c>
      <c r="AA18" s="2" t="s">
        <v>63</v>
      </c>
      <c r="AB18" s="2" t="s">
        <v>64</v>
      </c>
      <c r="AC18" s="2" t="s">
        <v>65</v>
      </c>
      <c r="AD18" s="2" t="s">
        <v>66</v>
      </c>
      <c r="AE18" s="2" t="s">
        <v>67</v>
      </c>
      <c r="AF18" s="2" t="s">
        <v>30</v>
      </c>
      <c r="AG18" s="2" t="s">
        <v>68</v>
      </c>
      <c r="AH18" s="2" t="s">
        <v>69</v>
      </c>
      <c r="AI18" s="2" t="s">
        <v>70</v>
      </c>
      <c r="AJ18" s="2" t="s">
        <v>34</v>
      </c>
      <c r="AK18" s="2" t="s">
        <v>35</v>
      </c>
      <c r="AL18" s="2" t="s">
        <v>71</v>
      </c>
      <c r="AM18" s="2" t="s">
        <v>37</v>
      </c>
      <c r="AN18" s="2" t="s">
        <v>38</v>
      </c>
      <c r="AO18" s="2" t="s">
        <v>72</v>
      </c>
      <c r="AP18" s="6" t="s">
        <v>73</v>
      </c>
    </row>
    <row r="19" spans="1:42" x14ac:dyDescent="0.25">
      <c r="A19" s="2" t="s">
        <v>41</v>
      </c>
      <c r="B19" s="2">
        <v>43.2</v>
      </c>
      <c r="C19" s="2">
        <v>44.1</v>
      </c>
      <c r="D19" s="2">
        <v>26.6</v>
      </c>
      <c r="E19" s="2">
        <v>43.3</v>
      </c>
      <c r="F19" s="2">
        <v>46.9</v>
      </c>
      <c r="G19" s="2">
        <v>26</v>
      </c>
      <c r="H19" s="2">
        <v>70.900000000000006</v>
      </c>
      <c r="I19" s="2">
        <v>83.5</v>
      </c>
      <c r="J19" s="2">
        <v>84.2</v>
      </c>
      <c r="K19" s="2">
        <v>41.3</v>
      </c>
      <c r="L19" s="2">
        <v>58</v>
      </c>
      <c r="M19" s="2">
        <v>70.7</v>
      </c>
      <c r="N19" s="2">
        <v>67.400000000000006</v>
      </c>
      <c r="O19" s="2">
        <v>55.9</v>
      </c>
      <c r="P19" s="2">
        <v>59.2</v>
      </c>
      <c r="Q19" s="2">
        <v>84.7</v>
      </c>
      <c r="R19" s="2">
        <v>78</v>
      </c>
      <c r="S19" s="2">
        <v>87.9</v>
      </c>
      <c r="T19" s="2">
        <v>84.9</v>
      </c>
      <c r="U19" s="2">
        <v>77.8</v>
      </c>
      <c r="V19" s="2">
        <v>59.9</v>
      </c>
      <c r="W19" s="2">
        <v>86</v>
      </c>
      <c r="X19" s="2">
        <v>87.8</v>
      </c>
      <c r="Y19" s="2">
        <v>77.2</v>
      </c>
      <c r="Z19" s="2">
        <v>57.7</v>
      </c>
      <c r="AA19" s="2">
        <v>45.6</v>
      </c>
      <c r="AB19" s="2">
        <v>65.400000000000006</v>
      </c>
      <c r="AC19" s="2">
        <v>53.9</v>
      </c>
      <c r="AD19" s="2">
        <v>49.9</v>
      </c>
      <c r="AE19" s="2">
        <v>43</v>
      </c>
      <c r="AF19" s="2">
        <v>17.3</v>
      </c>
      <c r="AG19" s="2">
        <v>64.3</v>
      </c>
      <c r="AH19" s="2">
        <v>61.5</v>
      </c>
      <c r="AI19" s="2">
        <v>63.8</v>
      </c>
      <c r="AJ19" s="2">
        <v>48.3</v>
      </c>
      <c r="AK19" s="2">
        <v>48.6</v>
      </c>
      <c r="AL19" s="2">
        <v>18.399999999999999</v>
      </c>
      <c r="AM19" s="2">
        <v>47.5</v>
      </c>
      <c r="AN19" s="2">
        <v>54.9</v>
      </c>
      <c r="AO19" s="2">
        <v>72.2</v>
      </c>
      <c r="AP19" s="6">
        <v>70.3</v>
      </c>
    </row>
    <row r="20" spans="1:42" x14ac:dyDescent="0.25">
      <c r="A20" s="2" t="s">
        <v>42</v>
      </c>
      <c r="B20" s="2">
        <v>56.8</v>
      </c>
      <c r="C20" s="2">
        <v>55.9</v>
      </c>
      <c r="D20" s="2">
        <v>73.400000000000006</v>
      </c>
      <c r="E20" s="2">
        <v>56.7</v>
      </c>
      <c r="F20" s="2">
        <v>53.1</v>
      </c>
      <c r="G20" s="2">
        <v>74</v>
      </c>
      <c r="H20" s="2">
        <v>29.1</v>
      </c>
      <c r="I20" s="2">
        <v>16.5</v>
      </c>
      <c r="J20" s="2">
        <v>15.8</v>
      </c>
      <c r="K20" s="2">
        <v>58.7</v>
      </c>
      <c r="L20" s="2">
        <v>42</v>
      </c>
      <c r="M20" s="2">
        <v>29.3</v>
      </c>
      <c r="N20" s="2">
        <v>32.6</v>
      </c>
      <c r="O20" s="2">
        <v>44.1</v>
      </c>
      <c r="P20" s="2">
        <v>40.799999999999997</v>
      </c>
      <c r="Q20" s="2">
        <v>15.3</v>
      </c>
      <c r="R20" s="2">
        <v>22</v>
      </c>
      <c r="S20" s="2">
        <v>12.1</v>
      </c>
      <c r="T20" s="2">
        <v>15.1</v>
      </c>
      <c r="U20" s="2">
        <v>22.2</v>
      </c>
      <c r="V20" s="2">
        <v>40.1</v>
      </c>
      <c r="W20" s="2">
        <v>14</v>
      </c>
      <c r="X20" s="2">
        <v>12.2</v>
      </c>
      <c r="Y20" s="2">
        <v>22.8</v>
      </c>
      <c r="Z20" s="2">
        <v>42.3</v>
      </c>
      <c r="AA20" s="2">
        <v>54.4</v>
      </c>
      <c r="AB20" s="2">
        <v>34.6</v>
      </c>
      <c r="AC20" s="2">
        <v>46.1</v>
      </c>
      <c r="AD20" s="2">
        <v>50.1</v>
      </c>
      <c r="AE20" s="2">
        <v>57</v>
      </c>
      <c r="AF20" s="2">
        <v>82.7</v>
      </c>
      <c r="AG20" s="2">
        <v>35.700000000000003</v>
      </c>
      <c r="AH20" s="2">
        <v>38.5</v>
      </c>
      <c r="AI20" s="2">
        <v>36.200000000000003</v>
      </c>
      <c r="AJ20" s="2">
        <v>51.7</v>
      </c>
      <c r="AK20" s="2">
        <v>51.4</v>
      </c>
      <c r="AL20" s="2">
        <v>81.599999999999994</v>
      </c>
      <c r="AM20" s="2">
        <v>52.5</v>
      </c>
      <c r="AN20" s="2">
        <v>45.1</v>
      </c>
      <c r="AO20" s="2">
        <v>27.8</v>
      </c>
      <c r="AP20" s="6">
        <v>29.7</v>
      </c>
    </row>
    <row r="21" spans="1:42" x14ac:dyDescent="0.25">
      <c r="A21" s="3" t="s">
        <v>78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6"/>
    </row>
    <row r="22" spans="1:42" x14ac:dyDescent="0.25">
      <c r="A22" s="2" t="s">
        <v>41</v>
      </c>
      <c r="B22" s="2">
        <v>91.3</v>
      </c>
      <c r="C22" s="2">
        <v>95.3</v>
      </c>
      <c r="D22" s="2">
        <v>88.5</v>
      </c>
      <c r="E22" s="2">
        <v>93.6</v>
      </c>
      <c r="F22" s="2">
        <v>92.2</v>
      </c>
      <c r="G22" s="2">
        <v>87.3</v>
      </c>
      <c r="H22" s="2">
        <v>90.4</v>
      </c>
      <c r="I22" s="2">
        <v>94.6</v>
      </c>
      <c r="J22" s="2">
        <v>97</v>
      </c>
      <c r="K22" s="2">
        <v>98</v>
      </c>
      <c r="L22" s="2">
        <v>93.7</v>
      </c>
      <c r="M22" s="2">
        <v>94.9</v>
      </c>
      <c r="N22" s="2">
        <v>92.9</v>
      </c>
      <c r="O22" s="2">
        <v>97.7</v>
      </c>
      <c r="P22" s="2">
        <v>100</v>
      </c>
      <c r="Q22" s="2">
        <v>94.1</v>
      </c>
      <c r="R22" s="2">
        <v>97.2</v>
      </c>
      <c r="S22" s="2">
        <v>98</v>
      </c>
      <c r="T22" s="2">
        <v>97.6</v>
      </c>
      <c r="U22" s="2">
        <v>96.4</v>
      </c>
      <c r="V22" s="2">
        <v>95.2</v>
      </c>
      <c r="W22" s="2">
        <v>96.1</v>
      </c>
      <c r="X22" s="2">
        <v>97.1</v>
      </c>
      <c r="Y22" s="2">
        <v>95.9</v>
      </c>
      <c r="Z22" s="2">
        <v>95.9</v>
      </c>
      <c r="AA22" s="2">
        <v>94.6</v>
      </c>
      <c r="AB22" s="2">
        <v>92.1</v>
      </c>
      <c r="AC22" s="2">
        <v>90</v>
      </c>
      <c r="AD22" s="2">
        <v>92.9</v>
      </c>
      <c r="AE22" s="2">
        <v>88.9</v>
      </c>
      <c r="AF22" s="2">
        <v>95.9</v>
      </c>
      <c r="AG22" s="2">
        <v>86.7</v>
      </c>
      <c r="AH22" s="2">
        <v>94.4</v>
      </c>
      <c r="AI22" s="2">
        <v>93.8</v>
      </c>
      <c r="AJ22" s="2">
        <v>88.3</v>
      </c>
      <c r="AK22" s="2">
        <v>100</v>
      </c>
      <c r="AL22" s="2">
        <v>66.7</v>
      </c>
      <c r="AM22" s="2">
        <v>95.2</v>
      </c>
      <c r="AN22" s="2">
        <v>90.9</v>
      </c>
      <c r="AO22" s="2">
        <v>100</v>
      </c>
      <c r="AP22" s="6">
        <v>100</v>
      </c>
    </row>
    <row r="23" spans="1:42" x14ac:dyDescent="0.25">
      <c r="A23" s="2" t="s">
        <v>42</v>
      </c>
      <c r="B23" s="2">
        <v>91.3</v>
      </c>
      <c r="C23" s="2">
        <v>92.6</v>
      </c>
      <c r="D23" s="2">
        <v>84.6</v>
      </c>
      <c r="E23" s="2">
        <v>80</v>
      </c>
      <c r="F23" s="2">
        <v>92.7</v>
      </c>
      <c r="G23" s="2">
        <v>88.2</v>
      </c>
      <c r="H23" s="2">
        <v>91.1</v>
      </c>
      <c r="I23" s="2">
        <v>94.7</v>
      </c>
      <c r="J23" s="2">
        <v>87.8</v>
      </c>
      <c r="K23" s="2">
        <v>96.7</v>
      </c>
      <c r="L23" s="2">
        <v>93.1</v>
      </c>
      <c r="M23" s="2">
        <v>92</v>
      </c>
      <c r="N23" s="2">
        <v>96.2</v>
      </c>
      <c r="O23" s="2">
        <v>91.7</v>
      </c>
      <c r="P23" s="2">
        <v>100</v>
      </c>
      <c r="Q23" s="2">
        <v>94.7</v>
      </c>
      <c r="R23" s="2">
        <v>96.2</v>
      </c>
      <c r="S23" s="2">
        <v>100</v>
      </c>
      <c r="T23" s="2">
        <v>88.9</v>
      </c>
      <c r="U23" s="2">
        <v>97.6</v>
      </c>
      <c r="V23" s="2">
        <v>95.4</v>
      </c>
      <c r="W23" s="2">
        <v>95.3</v>
      </c>
      <c r="X23" s="2">
        <v>94.1</v>
      </c>
      <c r="Y23" s="2">
        <v>94.4</v>
      </c>
      <c r="Z23" s="2">
        <v>96.6</v>
      </c>
      <c r="AA23" s="2">
        <v>93.7</v>
      </c>
      <c r="AB23" s="2">
        <v>88.2</v>
      </c>
      <c r="AC23" s="2">
        <v>87.8</v>
      </c>
      <c r="AD23" s="2">
        <v>88.2</v>
      </c>
      <c r="AE23" s="2">
        <v>90.8</v>
      </c>
      <c r="AF23" s="2">
        <v>90.1</v>
      </c>
      <c r="AG23" s="2">
        <v>100</v>
      </c>
      <c r="AH23" s="2">
        <v>91.5</v>
      </c>
      <c r="AI23" s="2">
        <v>93.4</v>
      </c>
      <c r="AJ23" s="2">
        <v>90.4</v>
      </c>
      <c r="AK23" s="2">
        <v>100</v>
      </c>
      <c r="AL23" s="2">
        <v>77.400000000000006</v>
      </c>
      <c r="AM23" s="2">
        <v>94.3</v>
      </c>
      <c r="AN23" s="2">
        <v>91.7</v>
      </c>
      <c r="AO23" s="2">
        <v>100</v>
      </c>
      <c r="AP23" s="6">
        <v>85.7</v>
      </c>
    </row>
    <row r="24" spans="1:42" x14ac:dyDescent="0.25">
      <c r="A24" s="2" t="s">
        <v>43</v>
      </c>
      <c r="B24" s="2">
        <v>91.3</v>
      </c>
      <c r="C24" s="2">
        <v>93.9</v>
      </c>
      <c r="D24" s="2">
        <v>85.6</v>
      </c>
      <c r="E24" s="2">
        <v>87</v>
      </c>
      <c r="F24" s="2">
        <v>92.4</v>
      </c>
      <c r="G24" s="2">
        <v>88</v>
      </c>
      <c r="H24" s="2">
        <v>90.6</v>
      </c>
      <c r="I24" s="2">
        <v>94.6</v>
      </c>
      <c r="J24" s="2">
        <v>95.6</v>
      </c>
      <c r="K24" s="2">
        <v>97.2</v>
      </c>
      <c r="L24" s="2">
        <v>93.4</v>
      </c>
      <c r="M24" s="2">
        <v>94.1</v>
      </c>
      <c r="N24" s="2">
        <v>94</v>
      </c>
      <c r="O24" s="2">
        <v>95</v>
      </c>
      <c r="P24" s="2">
        <v>100</v>
      </c>
      <c r="Q24" s="2">
        <v>94.2</v>
      </c>
      <c r="R24" s="2">
        <v>96.9</v>
      </c>
      <c r="S24" s="2">
        <v>98.2</v>
      </c>
      <c r="T24" s="2">
        <v>96.4</v>
      </c>
      <c r="U24" s="2">
        <v>96.7</v>
      </c>
      <c r="V24" s="2">
        <v>95.3</v>
      </c>
      <c r="W24" s="2">
        <v>96</v>
      </c>
      <c r="X24" s="2">
        <v>96.7</v>
      </c>
      <c r="Y24" s="2">
        <v>95.5</v>
      </c>
      <c r="Z24" s="2">
        <v>96.2</v>
      </c>
      <c r="AA24" s="2">
        <v>94.1</v>
      </c>
      <c r="AB24" s="2">
        <v>90.9</v>
      </c>
      <c r="AC24" s="2">
        <v>89</v>
      </c>
      <c r="AD24" s="2">
        <v>90.6</v>
      </c>
      <c r="AE24" s="2">
        <v>90</v>
      </c>
      <c r="AF24" s="2">
        <v>91.1</v>
      </c>
      <c r="AG24" s="2">
        <v>90.5</v>
      </c>
      <c r="AH24" s="2">
        <v>93.3</v>
      </c>
      <c r="AI24" s="2">
        <v>93.7</v>
      </c>
      <c r="AJ24" s="2">
        <v>89.4</v>
      </c>
      <c r="AK24" s="2">
        <v>100</v>
      </c>
      <c r="AL24" s="2">
        <v>75.7</v>
      </c>
      <c r="AM24" s="2">
        <v>94.7</v>
      </c>
      <c r="AN24" s="2">
        <v>91.3</v>
      </c>
      <c r="AO24" s="2">
        <v>100</v>
      </c>
      <c r="AP24" s="6">
        <v>94.6</v>
      </c>
    </row>
    <row r="25" spans="1:42" x14ac:dyDescent="0.25">
      <c r="A25" s="2"/>
      <c r="B25" s="2" t="s">
        <v>44</v>
      </c>
      <c r="C25" s="2" t="s">
        <v>45</v>
      </c>
      <c r="D25" s="2" t="s">
        <v>46</v>
      </c>
      <c r="E25" s="2" t="s">
        <v>3</v>
      </c>
      <c r="F25" s="2" t="s">
        <v>47</v>
      </c>
      <c r="G25" s="2" t="s">
        <v>48</v>
      </c>
      <c r="H25" s="2" t="s">
        <v>49</v>
      </c>
      <c r="I25" s="2" t="s">
        <v>50</v>
      </c>
      <c r="J25" s="2" t="s">
        <v>51</v>
      </c>
      <c r="K25" s="2" t="s">
        <v>52</v>
      </c>
      <c r="L25" s="2" t="s">
        <v>53</v>
      </c>
      <c r="M25" s="2" t="s">
        <v>11</v>
      </c>
      <c r="N25" s="2" t="s">
        <v>54</v>
      </c>
      <c r="O25" s="2" t="s">
        <v>55</v>
      </c>
      <c r="P25" s="2" t="s">
        <v>56</v>
      </c>
      <c r="Q25" s="2" t="s">
        <v>57</v>
      </c>
      <c r="R25" s="2" t="s">
        <v>58</v>
      </c>
      <c r="S25" s="2" t="s">
        <v>17</v>
      </c>
      <c r="T25" s="2" t="s">
        <v>59</v>
      </c>
      <c r="U25" s="2" t="s">
        <v>19</v>
      </c>
      <c r="V25" s="2" t="s">
        <v>60</v>
      </c>
      <c r="W25" s="2" t="s">
        <v>61</v>
      </c>
      <c r="X25" s="2" t="s">
        <v>62</v>
      </c>
      <c r="Y25" s="2" t="s">
        <v>23</v>
      </c>
      <c r="Z25" s="2" t="s">
        <v>24</v>
      </c>
      <c r="AA25" s="2" t="s">
        <v>63</v>
      </c>
      <c r="AB25" s="2" t="s">
        <v>64</v>
      </c>
      <c r="AC25" s="2" t="s">
        <v>65</v>
      </c>
      <c r="AD25" s="2" t="s">
        <v>66</v>
      </c>
      <c r="AE25" s="2" t="s">
        <v>67</v>
      </c>
      <c r="AF25" s="2" t="s">
        <v>30</v>
      </c>
      <c r="AG25" s="2" t="s">
        <v>68</v>
      </c>
      <c r="AH25" s="2" t="s">
        <v>69</v>
      </c>
      <c r="AI25" s="2" t="s">
        <v>70</v>
      </c>
      <c r="AJ25" s="2" t="s">
        <v>34</v>
      </c>
      <c r="AK25" s="2" t="s">
        <v>35</v>
      </c>
      <c r="AL25" s="2" t="s">
        <v>71</v>
      </c>
      <c r="AM25" s="2" t="s">
        <v>37</v>
      </c>
      <c r="AN25" s="2" t="s">
        <v>38</v>
      </c>
      <c r="AO25" s="2" t="s">
        <v>72</v>
      </c>
      <c r="AP25" s="6" t="s">
        <v>73</v>
      </c>
    </row>
    <row r="26" spans="1:42" x14ac:dyDescent="0.25">
      <c r="A26" s="3" t="s">
        <v>77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6"/>
    </row>
    <row r="27" spans="1:42" x14ac:dyDescent="0.25">
      <c r="A27" s="2" t="s">
        <v>41</v>
      </c>
      <c r="B27" s="2">
        <v>1862</v>
      </c>
      <c r="C27" s="2">
        <v>1969</v>
      </c>
      <c r="D27" s="2">
        <v>1728</v>
      </c>
      <c r="E27" s="2">
        <v>1603</v>
      </c>
      <c r="F27" s="2">
        <v>2186</v>
      </c>
      <c r="G27" s="2">
        <v>1932</v>
      </c>
      <c r="H27" s="2">
        <v>2118</v>
      </c>
      <c r="I27" s="2">
        <v>2212</v>
      </c>
      <c r="J27" s="2">
        <v>2306</v>
      </c>
      <c r="K27" s="2">
        <v>2078</v>
      </c>
      <c r="L27" s="2">
        <v>2162</v>
      </c>
      <c r="M27" s="2">
        <v>2115</v>
      </c>
      <c r="N27" s="2">
        <v>2173</v>
      </c>
      <c r="O27" s="2">
        <v>2153</v>
      </c>
      <c r="P27" s="2">
        <v>2121</v>
      </c>
      <c r="Q27" s="2">
        <v>2269</v>
      </c>
      <c r="R27" s="2">
        <v>2225</v>
      </c>
      <c r="S27" s="2">
        <v>2164</v>
      </c>
      <c r="T27" s="2">
        <v>2220</v>
      </c>
      <c r="U27" s="2">
        <v>2233</v>
      </c>
      <c r="V27" s="2">
        <v>2157</v>
      </c>
      <c r="W27" s="2">
        <v>2220</v>
      </c>
      <c r="X27" s="2">
        <v>2192</v>
      </c>
      <c r="Y27" s="2">
        <v>2267</v>
      </c>
      <c r="Z27" s="2">
        <v>2023</v>
      </c>
      <c r="AA27" s="2">
        <v>2014</v>
      </c>
      <c r="AB27" s="2">
        <v>2500</v>
      </c>
      <c r="AC27" s="2">
        <v>1889</v>
      </c>
      <c r="AD27" s="2">
        <v>1961</v>
      </c>
      <c r="AE27" s="2">
        <v>1594</v>
      </c>
      <c r="AF27" s="2">
        <v>1962</v>
      </c>
      <c r="AG27" s="2">
        <v>1875</v>
      </c>
      <c r="AH27" s="2">
        <v>1908</v>
      </c>
      <c r="AI27" s="2">
        <v>1728</v>
      </c>
      <c r="AJ27" s="2">
        <v>1788</v>
      </c>
      <c r="AK27" s="2">
        <v>2049</v>
      </c>
      <c r="AL27" s="2">
        <v>2219</v>
      </c>
      <c r="AM27" s="2">
        <v>1995</v>
      </c>
      <c r="AN27" s="2">
        <v>2032</v>
      </c>
      <c r="AO27" s="2">
        <v>2260</v>
      </c>
      <c r="AP27" s="6">
        <v>2449</v>
      </c>
    </row>
    <row r="28" spans="1:42" x14ac:dyDescent="0.25">
      <c r="A28" s="2" t="s">
        <v>42</v>
      </c>
      <c r="B28" s="2">
        <v>1638</v>
      </c>
      <c r="C28" s="2">
        <v>1710</v>
      </c>
      <c r="D28" s="2">
        <v>1652</v>
      </c>
      <c r="E28" s="2">
        <v>1611</v>
      </c>
      <c r="F28" s="2">
        <v>1833</v>
      </c>
      <c r="G28" s="2">
        <v>1753</v>
      </c>
      <c r="H28" s="2">
        <v>2133</v>
      </c>
      <c r="I28" s="2">
        <v>1839</v>
      </c>
      <c r="J28" s="2">
        <v>2297</v>
      </c>
      <c r="K28" s="2">
        <v>1973</v>
      </c>
      <c r="L28" s="2">
        <v>2060</v>
      </c>
      <c r="M28" s="2">
        <v>1931</v>
      </c>
      <c r="N28" s="2">
        <v>1868</v>
      </c>
      <c r="O28" s="2">
        <v>1851</v>
      </c>
      <c r="P28" s="2">
        <v>1850</v>
      </c>
      <c r="Q28" s="2">
        <v>2143</v>
      </c>
      <c r="R28" s="2">
        <v>2031</v>
      </c>
      <c r="S28" s="2">
        <v>2297</v>
      </c>
      <c r="T28" s="2">
        <v>2244</v>
      </c>
      <c r="U28" s="2">
        <v>2102</v>
      </c>
      <c r="V28" s="2">
        <v>1990</v>
      </c>
      <c r="W28" s="2">
        <v>2050</v>
      </c>
      <c r="X28" s="2">
        <v>2102</v>
      </c>
      <c r="Y28" s="2">
        <v>1905</v>
      </c>
      <c r="Z28" s="2">
        <v>1850</v>
      </c>
      <c r="AA28" s="2">
        <v>1809</v>
      </c>
      <c r="AB28" s="2">
        <v>1876</v>
      </c>
      <c r="AC28" s="2">
        <v>1645</v>
      </c>
      <c r="AD28" s="2">
        <v>1866</v>
      </c>
      <c r="AE28" s="2">
        <v>1466</v>
      </c>
      <c r="AF28" s="2">
        <v>1652</v>
      </c>
      <c r="AG28" s="2">
        <v>1771</v>
      </c>
      <c r="AH28" s="2">
        <v>1866</v>
      </c>
      <c r="AI28" s="2">
        <v>1657</v>
      </c>
      <c r="AJ28" s="2">
        <v>1594</v>
      </c>
      <c r="AK28" s="2">
        <v>1786</v>
      </c>
      <c r="AL28" s="2">
        <v>1566</v>
      </c>
      <c r="AM28" s="2">
        <v>1973</v>
      </c>
      <c r="AN28" s="2">
        <v>2013</v>
      </c>
      <c r="AO28" s="2">
        <v>1692</v>
      </c>
      <c r="AP28" s="6">
        <v>2416</v>
      </c>
    </row>
    <row r="29" spans="1:42" x14ac:dyDescent="0.25">
      <c r="A29" s="2" t="s">
        <v>43</v>
      </c>
      <c r="B29" s="2">
        <v>1750</v>
      </c>
      <c r="C29" s="2">
        <v>1834</v>
      </c>
      <c r="D29" s="2">
        <v>1672</v>
      </c>
      <c r="E29" s="2">
        <v>1607</v>
      </c>
      <c r="F29" s="2">
        <v>1993</v>
      </c>
      <c r="G29" s="2">
        <v>1798</v>
      </c>
      <c r="H29" s="2">
        <v>2122</v>
      </c>
      <c r="I29" s="2">
        <v>2157</v>
      </c>
      <c r="J29" s="2">
        <v>2305</v>
      </c>
      <c r="K29" s="2">
        <v>2016</v>
      </c>
      <c r="L29" s="2">
        <v>2120</v>
      </c>
      <c r="M29" s="2">
        <v>2064</v>
      </c>
      <c r="N29" s="2">
        <v>2065</v>
      </c>
      <c r="O29" s="2">
        <v>2022</v>
      </c>
      <c r="P29" s="2">
        <v>2002</v>
      </c>
      <c r="Q29" s="2">
        <v>2250</v>
      </c>
      <c r="R29" s="2">
        <v>2174</v>
      </c>
      <c r="S29" s="2">
        <v>2181</v>
      </c>
      <c r="T29" s="2">
        <v>2223</v>
      </c>
      <c r="U29" s="2">
        <v>2202</v>
      </c>
      <c r="V29" s="2">
        <v>2092</v>
      </c>
      <c r="W29" s="2">
        <v>2198</v>
      </c>
      <c r="X29" s="2">
        <v>2182</v>
      </c>
      <c r="Y29" s="2">
        <v>2169</v>
      </c>
      <c r="Z29" s="2">
        <v>1950</v>
      </c>
      <c r="AA29" s="2">
        <v>1901</v>
      </c>
      <c r="AB29" s="2">
        <v>2331</v>
      </c>
      <c r="AC29" s="2">
        <v>1777</v>
      </c>
      <c r="AD29" s="2">
        <v>1915</v>
      </c>
      <c r="AE29" s="2">
        <v>1518</v>
      </c>
      <c r="AF29" s="2">
        <v>1707</v>
      </c>
      <c r="AG29" s="2">
        <v>1842</v>
      </c>
      <c r="AH29" s="2">
        <v>1892</v>
      </c>
      <c r="AI29" s="2">
        <v>1703</v>
      </c>
      <c r="AJ29" s="2">
        <v>1685</v>
      </c>
      <c r="AK29" s="2">
        <v>1913</v>
      </c>
      <c r="AL29" s="2">
        <v>1663</v>
      </c>
      <c r="AM29" s="2">
        <v>1983</v>
      </c>
      <c r="AN29" s="2">
        <v>2023</v>
      </c>
      <c r="AO29" s="2">
        <v>2061</v>
      </c>
      <c r="AP29" s="6">
        <v>2438</v>
      </c>
    </row>
    <row r="30" spans="1:42" s="7" customFormat="1" x14ac:dyDescent="0.25"/>
    <row r="31" spans="1:42" x14ac:dyDescent="0.25">
      <c r="A31" s="2" t="s">
        <v>80</v>
      </c>
      <c r="B31" s="2">
        <f t="shared" ref="B31:AP31" si="0">B11-B12</f>
        <v>193</v>
      </c>
      <c r="C31" s="2">
        <f t="shared" si="0"/>
        <v>122</v>
      </c>
      <c r="D31" s="2">
        <f t="shared" si="0"/>
        <v>91</v>
      </c>
      <c r="E31" s="2">
        <f t="shared" si="0"/>
        <v>34</v>
      </c>
      <c r="F31" s="2">
        <f t="shared" si="0"/>
        <v>-16</v>
      </c>
      <c r="G31" s="2">
        <f t="shared" si="0"/>
        <v>131</v>
      </c>
      <c r="H31" s="2">
        <f t="shared" si="0"/>
        <v>-59</v>
      </c>
      <c r="I31" s="2">
        <f t="shared" si="0"/>
        <v>40</v>
      </c>
      <c r="J31" s="2">
        <f t="shared" si="0"/>
        <v>66</v>
      </c>
      <c r="K31" s="2">
        <f t="shared" si="0"/>
        <v>58</v>
      </c>
      <c r="L31" s="2">
        <f t="shared" si="0"/>
        <v>99</v>
      </c>
      <c r="M31" s="2">
        <f t="shared" si="0"/>
        <v>162</v>
      </c>
      <c r="N31" s="2">
        <f t="shared" si="0"/>
        <v>65</v>
      </c>
      <c r="O31" s="2">
        <f t="shared" si="0"/>
        <v>160</v>
      </c>
      <c r="P31" s="2">
        <f t="shared" si="0"/>
        <v>263</v>
      </c>
      <c r="Q31" s="2">
        <f t="shared" si="0"/>
        <v>-13</v>
      </c>
      <c r="R31" s="2">
        <f t="shared" si="0"/>
        <v>80</v>
      </c>
      <c r="S31" s="2">
        <f t="shared" si="0"/>
        <v>14</v>
      </c>
      <c r="T31" s="2">
        <f t="shared" si="0"/>
        <v>123</v>
      </c>
      <c r="U31" s="2">
        <f t="shared" si="0"/>
        <v>17</v>
      </c>
      <c r="V31" s="2">
        <f t="shared" si="0"/>
        <v>69</v>
      </c>
      <c r="W31" s="2">
        <f t="shared" si="0"/>
        <v>142</v>
      </c>
      <c r="X31" s="2">
        <f t="shared" si="0"/>
        <v>61</v>
      </c>
      <c r="Y31" s="2">
        <f t="shared" si="0"/>
        <v>40</v>
      </c>
      <c r="Z31" s="2">
        <f t="shared" si="0"/>
        <v>38</v>
      </c>
      <c r="AA31" s="2">
        <f t="shared" si="0"/>
        <v>46</v>
      </c>
      <c r="AB31" s="2">
        <f t="shared" si="0"/>
        <v>147</v>
      </c>
      <c r="AC31" s="2">
        <f t="shared" si="0"/>
        <v>211</v>
      </c>
      <c r="AD31" s="2">
        <f t="shared" si="0"/>
        <v>37</v>
      </c>
      <c r="AE31" s="2">
        <f t="shared" si="0"/>
        <v>-35</v>
      </c>
      <c r="AF31" s="2">
        <f t="shared" si="0"/>
        <v>142</v>
      </c>
      <c r="AG31" s="2">
        <f t="shared" si="0"/>
        <v>-20</v>
      </c>
      <c r="AH31" s="2">
        <f t="shared" si="0"/>
        <v>-41</v>
      </c>
      <c r="AI31" s="2">
        <f t="shared" si="0"/>
        <v>247</v>
      </c>
      <c r="AJ31" s="2">
        <f t="shared" si="0"/>
        <v>60</v>
      </c>
      <c r="AK31" s="2">
        <f t="shared" si="0"/>
        <v>334</v>
      </c>
      <c r="AL31" s="2">
        <f t="shared" si="0"/>
        <v>-146</v>
      </c>
      <c r="AM31" s="2">
        <f t="shared" si="0"/>
        <v>-37</v>
      </c>
      <c r="AN31" s="2">
        <f t="shared" si="0"/>
        <v>81</v>
      </c>
      <c r="AO31" s="2">
        <f t="shared" si="0"/>
        <v>277</v>
      </c>
      <c r="AP31" s="2">
        <f t="shared" si="0"/>
        <v>21</v>
      </c>
    </row>
    <row r="32" spans="1:42" x14ac:dyDescent="0.25">
      <c r="A32" s="2" t="s">
        <v>81</v>
      </c>
      <c r="B32" s="2">
        <f t="shared" ref="B32:AP32" si="1">B27-B28</f>
        <v>224</v>
      </c>
      <c r="C32" s="2">
        <f t="shared" si="1"/>
        <v>259</v>
      </c>
      <c r="D32" s="2">
        <f t="shared" si="1"/>
        <v>76</v>
      </c>
      <c r="E32" s="2">
        <f t="shared" si="1"/>
        <v>-8</v>
      </c>
      <c r="F32" s="2">
        <f t="shared" si="1"/>
        <v>353</v>
      </c>
      <c r="G32" s="2">
        <f t="shared" si="1"/>
        <v>179</v>
      </c>
      <c r="H32" s="2">
        <f t="shared" si="1"/>
        <v>-15</v>
      </c>
      <c r="I32" s="2">
        <f t="shared" si="1"/>
        <v>373</v>
      </c>
      <c r="J32" s="2">
        <f t="shared" si="1"/>
        <v>9</v>
      </c>
      <c r="K32" s="2">
        <f t="shared" si="1"/>
        <v>105</v>
      </c>
      <c r="L32" s="2">
        <f t="shared" si="1"/>
        <v>102</v>
      </c>
      <c r="M32" s="2">
        <f t="shared" si="1"/>
        <v>184</v>
      </c>
      <c r="N32" s="2">
        <f t="shared" si="1"/>
        <v>305</v>
      </c>
      <c r="O32" s="2">
        <f t="shared" si="1"/>
        <v>302</v>
      </c>
      <c r="P32" s="2">
        <f t="shared" si="1"/>
        <v>271</v>
      </c>
      <c r="Q32" s="2">
        <f t="shared" si="1"/>
        <v>126</v>
      </c>
      <c r="R32" s="2">
        <f t="shared" si="1"/>
        <v>194</v>
      </c>
      <c r="S32" s="2">
        <f t="shared" si="1"/>
        <v>-133</v>
      </c>
      <c r="T32" s="2">
        <f t="shared" si="1"/>
        <v>-24</v>
      </c>
      <c r="U32" s="2">
        <f t="shared" si="1"/>
        <v>131</v>
      </c>
      <c r="V32" s="2">
        <f t="shared" si="1"/>
        <v>167</v>
      </c>
      <c r="W32" s="2">
        <f t="shared" si="1"/>
        <v>170</v>
      </c>
      <c r="X32" s="2">
        <f t="shared" si="1"/>
        <v>90</v>
      </c>
      <c r="Y32" s="2">
        <f t="shared" si="1"/>
        <v>362</v>
      </c>
      <c r="Z32" s="2">
        <f t="shared" si="1"/>
        <v>173</v>
      </c>
      <c r="AA32" s="2">
        <f t="shared" si="1"/>
        <v>205</v>
      </c>
      <c r="AB32" s="2">
        <f t="shared" si="1"/>
        <v>624</v>
      </c>
      <c r="AC32" s="2">
        <f t="shared" si="1"/>
        <v>244</v>
      </c>
      <c r="AD32" s="2">
        <f t="shared" si="1"/>
        <v>95</v>
      </c>
      <c r="AE32" s="2">
        <f t="shared" si="1"/>
        <v>128</v>
      </c>
      <c r="AF32" s="2">
        <f t="shared" si="1"/>
        <v>310</v>
      </c>
      <c r="AG32" s="2">
        <f t="shared" si="1"/>
        <v>104</v>
      </c>
      <c r="AH32" s="2">
        <f t="shared" si="1"/>
        <v>42</v>
      </c>
      <c r="AI32" s="2">
        <f t="shared" si="1"/>
        <v>71</v>
      </c>
      <c r="AJ32" s="2">
        <f t="shared" si="1"/>
        <v>194</v>
      </c>
      <c r="AK32" s="2">
        <f t="shared" si="1"/>
        <v>263</v>
      </c>
      <c r="AL32" s="2">
        <f t="shared" si="1"/>
        <v>653</v>
      </c>
      <c r="AM32" s="2">
        <f t="shared" si="1"/>
        <v>22</v>
      </c>
      <c r="AN32" s="2">
        <f t="shared" si="1"/>
        <v>19</v>
      </c>
      <c r="AO32" s="2">
        <f t="shared" si="1"/>
        <v>568</v>
      </c>
      <c r="AP32" s="2">
        <f t="shared" si="1"/>
        <v>33</v>
      </c>
    </row>
    <row r="33" spans="1:42" x14ac:dyDescent="0.25">
      <c r="A33" s="2" t="s">
        <v>85</v>
      </c>
      <c r="B33" s="4">
        <f>B31/B11</f>
        <v>0.12979152656355078</v>
      </c>
      <c r="C33" s="4">
        <f t="shared" ref="B33:AP33" si="2">C31/C11</f>
        <v>8.2321187584345479E-2</v>
      </c>
      <c r="D33" s="4">
        <f t="shared" si="2"/>
        <v>6.5798987707881423E-2</v>
      </c>
      <c r="E33" s="4">
        <f t="shared" si="2"/>
        <v>2.4890190336749635E-2</v>
      </c>
      <c r="F33" s="4">
        <f t="shared" si="2"/>
        <v>-1.0832769126607989E-2</v>
      </c>
      <c r="G33" s="4">
        <f t="shared" si="2"/>
        <v>8.4954604409857332E-2</v>
      </c>
      <c r="H33" s="4">
        <f t="shared" si="2"/>
        <v>-3.9228723404255317E-2</v>
      </c>
      <c r="I33" s="4">
        <f t="shared" si="2"/>
        <v>2.3001725129384705E-2</v>
      </c>
      <c r="J33" s="4">
        <f t="shared" si="2"/>
        <v>3.5369774919614148E-2</v>
      </c>
      <c r="K33" s="4">
        <f t="shared" si="2"/>
        <v>3.5279805352798052E-2</v>
      </c>
      <c r="L33" s="4">
        <f t="shared" si="2"/>
        <v>5.5400111919418016E-2</v>
      </c>
      <c r="M33" s="4">
        <f t="shared" si="2"/>
        <v>9.5914742451154528E-2</v>
      </c>
      <c r="N33" s="4">
        <f t="shared" si="2"/>
        <v>3.7922987164527425E-2</v>
      </c>
      <c r="O33" s="4">
        <f t="shared" si="2"/>
        <v>9.8039215686274508E-2</v>
      </c>
      <c r="P33" s="4">
        <f t="shared" si="2"/>
        <v>0.13480266529984622</v>
      </c>
      <c r="Q33" s="4">
        <f t="shared" si="2"/>
        <v>-7.1193866374589269E-3</v>
      </c>
      <c r="R33" s="4">
        <f t="shared" si="2"/>
        <v>4.4296788482834998E-2</v>
      </c>
      <c r="S33" s="4">
        <f t="shared" si="2"/>
        <v>7.4826296098343134E-3</v>
      </c>
      <c r="T33" s="4">
        <f t="shared" si="2"/>
        <v>6.623586429725363E-2</v>
      </c>
      <c r="U33" s="4">
        <f t="shared" si="2"/>
        <v>9.8265895953757228E-3</v>
      </c>
      <c r="V33" s="4">
        <f t="shared" si="2"/>
        <v>3.8312048861743477E-2</v>
      </c>
      <c r="W33" s="4">
        <f t="shared" si="2"/>
        <v>7.8366445916114788E-2</v>
      </c>
      <c r="X33" s="4">
        <f t="shared" si="2"/>
        <v>3.3534909290819134E-2</v>
      </c>
      <c r="Y33" s="4">
        <f t="shared" si="2"/>
        <v>2.2271714922048998E-2</v>
      </c>
      <c r="Z33" s="4">
        <f t="shared" si="2"/>
        <v>2.369077306733167E-2</v>
      </c>
      <c r="AA33" s="4">
        <f t="shared" si="2"/>
        <v>2.8500619578686492E-2</v>
      </c>
      <c r="AB33" s="4">
        <f t="shared" si="2"/>
        <v>7.9330814894765248E-2</v>
      </c>
      <c r="AC33" s="4">
        <f t="shared" si="2"/>
        <v>0.13936591809775428</v>
      </c>
      <c r="AD33" s="4">
        <f t="shared" si="2"/>
        <v>2.4135681669928244E-2</v>
      </c>
      <c r="AE33" s="4">
        <f t="shared" si="2"/>
        <v>-2.6555386949924126E-2</v>
      </c>
      <c r="AF33" s="4">
        <f t="shared" si="2"/>
        <v>0.10304789550072568</v>
      </c>
      <c r="AG33" s="4">
        <f t="shared" si="2"/>
        <v>-1.5372790161414296E-2</v>
      </c>
      <c r="AH33" s="4">
        <f t="shared" si="2"/>
        <v>-2.5818639798488665E-2</v>
      </c>
      <c r="AI33" s="4">
        <f t="shared" si="2"/>
        <v>0.16038961038961039</v>
      </c>
      <c r="AJ33" s="4">
        <f t="shared" si="2"/>
        <v>4.0871934604904632E-2</v>
      </c>
      <c r="AK33" s="4">
        <f t="shared" si="2"/>
        <v>0.2054120541205412</v>
      </c>
      <c r="AL33" s="4">
        <f t="shared" si="2"/>
        <v>-0.13568773234200743</v>
      </c>
      <c r="AM33" s="4">
        <f t="shared" si="2"/>
        <v>-2.208955223880597E-2</v>
      </c>
      <c r="AN33" s="4">
        <f t="shared" si="2"/>
        <v>4.5608108108108107E-2</v>
      </c>
      <c r="AO33" s="4">
        <f t="shared" si="2"/>
        <v>0.15337763012181616</v>
      </c>
      <c r="AP33" s="4">
        <f t="shared" si="2"/>
        <v>1.1837655016910935E-2</v>
      </c>
    </row>
    <row r="34" spans="1:42" x14ac:dyDescent="0.25">
      <c r="A34" s="2" t="s">
        <v>86</v>
      </c>
      <c r="B34" s="2">
        <f t="shared" ref="B34:AI34" si="3">B32/B27</f>
        <v>0.12030075187969924</v>
      </c>
      <c r="C34" s="2">
        <f t="shared" si="3"/>
        <v>0.13153885220924327</v>
      </c>
      <c r="D34" s="2">
        <f t="shared" si="3"/>
        <v>4.3981481481481483E-2</v>
      </c>
      <c r="E34" s="2">
        <f t="shared" si="3"/>
        <v>-4.9906425452276981E-3</v>
      </c>
      <c r="F34" s="2">
        <f t="shared" si="3"/>
        <v>0.16148215919487649</v>
      </c>
      <c r="G34" s="2">
        <f t="shared" si="3"/>
        <v>9.2650103519668736E-2</v>
      </c>
      <c r="H34" s="2">
        <f t="shared" si="3"/>
        <v>-7.0821529745042494E-3</v>
      </c>
      <c r="I34" s="2">
        <f t="shared" si="3"/>
        <v>0.168625678119349</v>
      </c>
      <c r="J34" s="2">
        <f t="shared" si="3"/>
        <v>3.9028620988725065E-3</v>
      </c>
      <c r="K34" s="2">
        <f t="shared" si="3"/>
        <v>5.0529355149181908E-2</v>
      </c>
      <c r="L34" s="2">
        <f t="shared" si="3"/>
        <v>4.7178538390379277E-2</v>
      </c>
      <c r="M34" s="2">
        <f t="shared" si="3"/>
        <v>8.6997635933806147E-2</v>
      </c>
      <c r="N34" s="2">
        <f t="shared" si="3"/>
        <v>0.14035895075931892</v>
      </c>
      <c r="O34" s="2">
        <f t="shared" si="3"/>
        <v>0.14026939154667906</v>
      </c>
      <c r="P34" s="2">
        <f t="shared" si="3"/>
        <v>0.12776991984912778</v>
      </c>
      <c r="Q34" s="2">
        <f t="shared" si="3"/>
        <v>5.5531070956368445E-2</v>
      </c>
      <c r="R34" s="2">
        <f t="shared" si="3"/>
        <v>8.719101123595506E-2</v>
      </c>
      <c r="S34" s="2">
        <f t="shared" si="3"/>
        <v>-6.1460258780036969E-2</v>
      </c>
      <c r="T34" s="2">
        <f t="shared" si="3"/>
        <v>-1.0810810810810811E-2</v>
      </c>
      <c r="U34" s="2">
        <f t="shared" si="3"/>
        <v>5.866547245857591E-2</v>
      </c>
      <c r="V34" s="2">
        <f t="shared" si="3"/>
        <v>7.7422345850718596E-2</v>
      </c>
      <c r="W34" s="2">
        <f t="shared" si="3"/>
        <v>7.6576576576576572E-2</v>
      </c>
      <c r="X34" s="2">
        <f t="shared" si="3"/>
        <v>4.105839416058394E-2</v>
      </c>
      <c r="Y34" s="2">
        <f t="shared" si="3"/>
        <v>0.15968239964711073</v>
      </c>
      <c r="Z34" s="2">
        <f t="shared" si="3"/>
        <v>8.5516559565002467E-2</v>
      </c>
      <c r="AA34" s="2">
        <f t="shared" si="3"/>
        <v>0.10178748758689175</v>
      </c>
      <c r="AB34" s="2">
        <f t="shared" si="3"/>
        <v>0.24959999999999999</v>
      </c>
      <c r="AC34" s="2">
        <f t="shared" si="3"/>
        <v>0.12916887241926944</v>
      </c>
      <c r="AD34" s="2">
        <f t="shared" si="3"/>
        <v>4.8444671086180523E-2</v>
      </c>
      <c r="AE34" s="2">
        <f t="shared" si="3"/>
        <v>8.0301129234629856E-2</v>
      </c>
      <c r="AF34" s="2">
        <f t="shared" si="3"/>
        <v>0.1580020387359837</v>
      </c>
      <c r="AG34" s="2">
        <f t="shared" si="3"/>
        <v>5.5466666666666664E-2</v>
      </c>
      <c r="AH34" s="2">
        <f t="shared" si="3"/>
        <v>2.20125786163522E-2</v>
      </c>
      <c r="AI34" s="2">
        <f t="shared" si="3"/>
        <v>4.1087962962962965E-2</v>
      </c>
      <c r="AJ34" s="2">
        <f>AJ32/AI27</f>
        <v>0.11226851851851852</v>
      </c>
      <c r="AK34" s="2">
        <f>AK32/AJ27</f>
        <v>0.1470917225950783</v>
      </c>
      <c r="AL34" s="2">
        <f>AL32/AK27</f>
        <v>0.31869204489995118</v>
      </c>
      <c r="AM34" s="2">
        <f>AM32/AL27</f>
        <v>9.9143758449752144E-3</v>
      </c>
      <c r="AN34" s="2">
        <f>AN32/AM27</f>
        <v>9.5238095238095247E-3</v>
      </c>
      <c r="AO34" s="2">
        <f>AO32/AN27</f>
        <v>0.27952755905511811</v>
      </c>
      <c r="AP34" s="2">
        <f>AP32/AO27</f>
        <v>1.4601769911504425E-2</v>
      </c>
    </row>
    <row r="35" spans="1:42" x14ac:dyDescent="0.25">
      <c r="A35" s="2" t="s">
        <v>87</v>
      </c>
      <c r="B35" s="4">
        <f t="shared" ref="B35" si="4">B34-B33</f>
        <v>-9.4907746838515383E-3</v>
      </c>
      <c r="C35" s="4">
        <f t="shared" ref="C35" si="5">C34-C33</f>
        <v>4.9217664624897794E-2</v>
      </c>
      <c r="D35" s="4">
        <f t="shared" ref="D35" si="6">D34-D33</f>
        <v>-2.1817506226399941E-2</v>
      </c>
      <c r="E35" s="4">
        <f t="shared" ref="E35" si="7">E34-E33</f>
        <v>-2.9880832881977334E-2</v>
      </c>
      <c r="F35" s="4">
        <f t="shared" ref="F35" si="8">F34-F33</f>
        <v>0.17231492832148448</v>
      </c>
      <c r="G35" s="4">
        <f t="shared" ref="G35" si="9">G34-G33</f>
        <v>7.6954991098114045E-3</v>
      </c>
      <c r="H35" s="4">
        <f t="shared" ref="H35" si="10">H34-H33</f>
        <v>3.2146570429751067E-2</v>
      </c>
      <c r="I35" s="4">
        <f t="shared" ref="I35" si="11">I34-I33</f>
        <v>0.14562395298996431</v>
      </c>
      <c r="J35" s="4">
        <f t="shared" ref="J35" si="12">J34-J33</f>
        <v>-3.1466912820741641E-2</v>
      </c>
      <c r="K35" s="4">
        <f t="shared" ref="K35" si="13">K34-K33</f>
        <v>1.5249549796383856E-2</v>
      </c>
      <c r="L35" s="4">
        <f t="shared" ref="L35" si="14">L34-L33</f>
        <v>-8.2215735290387393E-3</v>
      </c>
      <c r="M35" s="4">
        <f t="shared" ref="M35" si="15">M34-M33</f>
        <v>-8.9171065173483804E-3</v>
      </c>
      <c r="N35" s="4">
        <f t="shared" ref="N35" si="16">N34-N33</f>
        <v>0.1024359635947915</v>
      </c>
      <c r="O35" s="4">
        <f t="shared" ref="O35" si="17">O34-O33</f>
        <v>4.2230175860404548E-2</v>
      </c>
      <c r="P35" s="4">
        <f t="shared" ref="P35" si="18">P34-P33</f>
        <v>-7.0327454507184417E-3</v>
      </c>
      <c r="Q35" s="4">
        <f t="shared" ref="Q35" si="19">Q34-Q33</f>
        <v>6.2650457593827369E-2</v>
      </c>
      <c r="R35" s="4">
        <f t="shared" ref="R35" si="20">R34-R33</f>
        <v>4.2894222753120062E-2</v>
      </c>
      <c r="S35" s="4">
        <f t="shared" ref="S35" si="21">S34-S33</f>
        <v>-6.8942888389871282E-2</v>
      </c>
      <c r="T35" s="4">
        <f t="shared" ref="T35" si="22">T34-T33</f>
        <v>-7.7046675108064441E-2</v>
      </c>
      <c r="U35" s="4">
        <f t="shared" ref="U35" si="23">U34-U33</f>
        <v>4.8838882863200185E-2</v>
      </c>
      <c r="V35" s="4">
        <f t="shared" ref="V35" si="24">V34-V33</f>
        <v>3.911029698897512E-2</v>
      </c>
      <c r="W35" s="4">
        <f t="shared" ref="W35" si="25">W34-W33</f>
        <v>-1.7898693395382165E-3</v>
      </c>
      <c r="X35" s="4">
        <f t="shared" ref="X35" si="26">X34-X33</f>
        <v>7.5234848697648057E-3</v>
      </c>
      <c r="Y35" s="4">
        <f t="shared" ref="Y35" si="27">Y34-Y33</f>
        <v>0.13741068472506174</v>
      </c>
      <c r="Z35" s="4">
        <f t="shared" ref="Z35" si="28">Z34-Z33</f>
        <v>6.1825786497670801E-2</v>
      </c>
      <c r="AA35" s="4">
        <f t="shared" ref="AA35" si="29">AA34-AA33</f>
        <v>7.3286868008205261E-2</v>
      </c>
      <c r="AB35" s="4">
        <f t="shared" ref="AB35" si="30">AB34-AB33</f>
        <v>0.17026918510523475</v>
      </c>
      <c r="AC35" s="4">
        <f t="shared" ref="AC35" si="31">AC34-AC33</f>
        <v>-1.019704567848484E-2</v>
      </c>
      <c r="AD35" s="4">
        <f t="shared" ref="AD35" si="32">AD34-AD33</f>
        <v>2.4308989416252279E-2</v>
      </c>
      <c r="AE35" s="4">
        <f t="shared" ref="AE35" si="33">AE34-AE33</f>
        <v>0.10685651618455398</v>
      </c>
      <c r="AF35" s="4">
        <f t="shared" ref="AF35" si="34">AF34-AF33</f>
        <v>5.4954143235258018E-2</v>
      </c>
      <c r="AG35" s="4">
        <f t="shared" ref="AG35" si="35">AG34-AG33</f>
        <v>7.083945682808096E-2</v>
      </c>
      <c r="AH35" s="4">
        <f t="shared" ref="AH35" si="36">AH34-AH33</f>
        <v>4.7831218414840865E-2</v>
      </c>
      <c r="AI35" s="4">
        <f t="shared" ref="AI35" si="37">AI34-AI33</f>
        <v>-0.11930164742664742</v>
      </c>
      <c r="AJ35" s="4">
        <f t="shared" ref="AJ35" si="38">AJ34-AJ33</f>
        <v>7.1396583913613892E-2</v>
      </c>
      <c r="AK35" s="4">
        <f t="shared" ref="AK35" si="39">AK34-AK33</f>
        <v>-5.8320331525462898E-2</v>
      </c>
      <c r="AL35" s="4">
        <f t="shared" ref="AL35" si="40">AL34-AL33</f>
        <v>0.4543797772419586</v>
      </c>
      <c r="AM35" s="4">
        <f t="shared" ref="AM35" si="41">AM34-AM33</f>
        <v>3.2003928083781184E-2</v>
      </c>
      <c r="AN35" s="4">
        <f t="shared" ref="AN35" si="42">AN34-AN33</f>
        <v>-3.6084298584298583E-2</v>
      </c>
      <c r="AO35" s="4">
        <f t="shared" ref="AO35" si="43">AO34-AO33</f>
        <v>0.12614992893330196</v>
      </c>
      <c r="AP35" s="4">
        <f t="shared" ref="AP35" si="44">AP34-AP33</f>
        <v>2.7641148945934894E-3</v>
      </c>
    </row>
    <row r="36" spans="1:42" x14ac:dyDescent="0.25">
      <c r="A36" s="2" t="s">
        <v>82</v>
      </c>
      <c r="B36" s="2">
        <v>41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5">
      <c r="A37" s="2" t="s">
        <v>83</v>
      </c>
      <c r="B37" s="2">
        <f>AVERAGE(B31:AP31)</f>
        <v>80.58536585365853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</row>
    <row r="38" spans="1:42" x14ac:dyDescent="0.25">
      <c r="A38" s="2" t="s">
        <v>84</v>
      </c>
      <c r="B38" s="2">
        <f>AVERAGE(B32:AP32)</f>
        <v>184.14634146341464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5">
      <c r="A39" s="2" t="s">
        <v>88</v>
      </c>
      <c r="B39" s="2">
        <f>AVERAGE(B35:AP35)</f>
        <v>4.1797527393081478E-2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</row>
    <row r="40" spans="1:42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5CD1-CE6A-4613-A44A-E1D5412B7AFA}">
  <dimension ref="A1:B43"/>
  <sheetViews>
    <sheetView workbookViewId="0">
      <selection activeCell="A36" sqref="A36:XFD36"/>
    </sheetView>
  </sheetViews>
  <sheetFormatPr defaultRowHeight="15" x14ac:dyDescent="0.25"/>
  <sheetData>
    <row r="1" spans="1:2" x14ac:dyDescent="0.25">
      <c r="A1" s="1" t="s">
        <v>41</v>
      </c>
      <c r="B1" s="1" t="s">
        <v>42</v>
      </c>
    </row>
    <row r="2" spans="1:2" x14ac:dyDescent="0.25">
      <c r="A2">
        <v>1709</v>
      </c>
      <c r="B2">
        <v>1512</v>
      </c>
    </row>
    <row r="3" spans="1:2" x14ac:dyDescent="0.25">
      <c r="A3">
        <v>1487</v>
      </c>
      <c r="B3">
        <v>1294</v>
      </c>
    </row>
    <row r="4" spans="1:2" x14ac:dyDescent="0.25">
      <c r="A4">
        <v>1482</v>
      </c>
      <c r="B4">
        <v>1360</v>
      </c>
    </row>
    <row r="5" spans="1:2" x14ac:dyDescent="0.25">
      <c r="A5">
        <v>1383</v>
      </c>
      <c r="B5">
        <v>1292</v>
      </c>
    </row>
    <row r="6" spans="1:2" x14ac:dyDescent="0.25">
      <c r="A6">
        <v>1366</v>
      </c>
      <c r="B6">
        <v>1332</v>
      </c>
    </row>
    <row r="7" spans="1:2" x14ac:dyDescent="0.25">
      <c r="A7">
        <v>1477</v>
      </c>
      <c r="B7">
        <v>1493</v>
      </c>
    </row>
    <row r="8" spans="1:2" x14ac:dyDescent="0.25">
      <c r="A8">
        <v>1542</v>
      </c>
      <c r="B8">
        <v>1411</v>
      </c>
    </row>
    <row r="9" spans="1:2" x14ac:dyDescent="0.25">
      <c r="A9">
        <v>1504</v>
      </c>
      <c r="B9">
        <v>1563</v>
      </c>
    </row>
    <row r="10" spans="1:2" x14ac:dyDescent="0.25">
      <c r="A10">
        <v>1739</v>
      </c>
      <c r="B10">
        <v>1699</v>
      </c>
    </row>
    <row r="11" spans="1:2" x14ac:dyDescent="0.25">
      <c r="A11">
        <v>1866</v>
      </c>
      <c r="B11">
        <v>1800</v>
      </c>
    </row>
    <row r="12" spans="1:2" x14ac:dyDescent="0.25">
      <c r="A12">
        <v>1644</v>
      </c>
      <c r="B12">
        <v>1586</v>
      </c>
    </row>
    <row r="13" spans="1:2" x14ac:dyDescent="0.25">
      <c r="A13">
        <v>1787</v>
      </c>
      <c r="B13">
        <v>1688</v>
      </c>
    </row>
    <row r="14" spans="1:2" x14ac:dyDescent="0.25">
      <c r="A14">
        <v>1689</v>
      </c>
      <c r="B14">
        <v>1527</v>
      </c>
    </row>
    <row r="15" spans="1:2" x14ac:dyDescent="0.25">
      <c r="A15">
        <v>1714</v>
      </c>
      <c r="B15">
        <v>1649</v>
      </c>
    </row>
    <row r="16" spans="1:2" x14ac:dyDescent="0.25">
      <c r="A16">
        <v>1632</v>
      </c>
      <c r="B16">
        <v>1472</v>
      </c>
    </row>
    <row r="17" spans="1:2" x14ac:dyDescent="0.25">
      <c r="A17">
        <v>1951</v>
      </c>
      <c r="B17">
        <v>1688</v>
      </c>
    </row>
    <row r="18" spans="1:2" x14ac:dyDescent="0.25">
      <c r="A18">
        <v>1826</v>
      </c>
      <c r="B18">
        <v>1839</v>
      </c>
    </row>
    <row r="19" spans="1:2" x14ac:dyDescent="0.25">
      <c r="A19">
        <v>1806</v>
      </c>
      <c r="B19">
        <v>1726</v>
      </c>
    </row>
    <row r="20" spans="1:2" x14ac:dyDescent="0.25">
      <c r="A20">
        <v>1871</v>
      </c>
      <c r="B20">
        <v>1857</v>
      </c>
    </row>
    <row r="21" spans="1:2" x14ac:dyDescent="0.25">
      <c r="A21">
        <v>1857</v>
      </c>
      <c r="B21">
        <v>1734</v>
      </c>
    </row>
    <row r="22" spans="1:2" x14ac:dyDescent="0.25">
      <c r="A22">
        <v>1730</v>
      </c>
      <c r="B22">
        <v>1713</v>
      </c>
    </row>
    <row r="23" spans="1:2" x14ac:dyDescent="0.25">
      <c r="A23">
        <v>1801</v>
      </c>
      <c r="B23">
        <v>1732</v>
      </c>
    </row>
    <row r="24" spans="1:2" x14ac:dyDescent="0.25">
      <c r="A24">
        <v>1812</v>
      </c>
      <c r="B24">
        <v>1670</v>
      </c>
    </row>
    <row r="25" spans="1:2" x14ac:dyDescent="0.25">
      <c r="A25">
        <v>1819</v>
      </c>
      <c r="B25">
        <v>1758</v>
      </c>
    </row>
    <row r="26" spans="1:2" x14ac:dyDescent="0.25">
      <c r="A26">
        <v>1796</v>
      </c>
      <c r="B26">
        <v>1756</v>
      </c>
    </row>
    <row r="27" spans="1:2" x14ac:dyDescent="0.25">
      <c r="A27">
        <v>1604</v>
      </c>
      <c r="B27">
        <v>1566</v>
      </c>
    </row>
    <row r="28" spans="1:2" x14ac:dyDescent="0.25">
      <c r="A28">
        <v>1614</v>
      </c>
      <c r="B28">
        <v>1568</v>
      </c>
    </row>
    <row r="29" spans="1:2" x14ac:dyDescent="0.25">
      <c r="A29">
        <v>1853</v>
      </c>
      <c r="B29">
        <v>1706</v>
      </c>
    </row>
    <row r="30" spans="1:2" x14ac:dyDescent="0.25">
      <c r="A30">
        <v>1514</v>
      </c>
      <c r="B30">
        <v>1303</v>
      </c>
    </row>
    <row r="31" spans="1:2" x14ac:dyDescent="0.25">
      <c r="A31">
        <v>1533</v>
      </c>
      <c r="B31">
        <v>1496</v>
      </c>
    </row>
    <row r="32" spans="1:2" x14ac:dyDescent="0.25">
      <c r="A32">
        <v>1318</v>
      </c>
      <c r="B32">
        <v>1353</v>
      </c>
    </row>
    <row r="33" spans="1:2" x14ac:dyDescent="0.25">
      <c r="A33">
        <v>1378</v>
      </c>
      <c r="B33">
        <v>1236</v>
      </c>
    </row>
    <row r="34" spans="1:2" x14ac:dyDescent="0.25">
      <c r="A34">
        <v>1301</v>
      </c>
      <c r="B34">
        <v>1321</v>
      </c>
    </row>
    <row r="35" spans="1:2" x14ac:dyDescent="0.25">
      <c r="A35">
        <v>1588</v>
      </c>
      <c r="B35">
        <v>1629</v>
      </c>
    </row>
    <row r="36" spans="1:2" x14ac:dyDescent="0.25">
      <c r="A36">
        <v>1540</v>
      </c>
      <c r="B36">
        <v>1293</v>
      </c>
    </row>
    <row r="37" spans="1:2" x14ac:dyDescent="0.25">
      <c r="A37">
        <v>1468</v>
      </c>
      <c r="B37">
        <v>1408</v>
      </c>
    </row>
    <row r="38" spans="1:2" x14ac:dyDescent="0.25">
      <c r="A38">
        <v>1626</v>
      </c>
      <c r="B38">
        <v>1292</v>
      </c>
    </row>
    <row r="39" spans="1:2" x14ac:dyDescent="0.25">
      <c r="A39">
        <v>1076</v>
      </c>
      <c r="B39">
        <v>1222</v>
      </c>
    </row>
    <row r="40" spans="1:2" x14ac:dyDescent="0.25">
      <c r="A40">
        <v>1675</v>
      </c>
      <c r="B40">
        <v>1712</v>
      </c>
    </row>
    <row r="41" spans="1:2" x14ac:dyDescent="0.25">
      <c r="A41">
        <v>1776</v>
      </c>
      <c r="B41">
        <v>1695</v>
      </c>
    </row>
    <row r="42" spans="1:2" x14ac:dyDescent="0.25">
      <c r="A42">
        <v>1806</v>
      </c>
      <c r="B42">
        <v>1529</v>
      </c>
    </row>
    <row r="43" spans="1:2" x14ac:dyDescent="0.25">
      <c r="A43">
        <v>1774</v>
      </c>
      <c r="B43">
        <v>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datialmalaureaTot1Anno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KUMAR</cp:lastModifiedBy>
  <dcterms:created xsi:type="dcterms:W3CDTF">2026-04-21T13:43:40Z</dcterms:created>
  <dcterms:modified xsi:type="dcterms:W3CDTF">2026-04-30T13:57:59Z</dcterms:modified>
</cp:coreProperties>
</file>